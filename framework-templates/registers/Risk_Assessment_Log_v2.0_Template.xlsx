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Risk Assessment" sheetId="2" state="visible" r:id="rId2"/>
    <sheet xmlns:r="http://schemas.openxmlformats.org/officeDocument/2006/relationships" name="Lists" sheetId="3" state="hidden" r:id="rId3"/>
  </sheets>
  <definedNames>
    <definedName name="_xlnm.Print_Titles" localSheetId="1">'Risk Assessment'!$5:$5</definedName>
  </definedNames>
  <calcPr calcId="191029" fullCalcOnLoad="1"/>
</workbook>
</file>

<file path=xl/styles.xml><?xml version="1.0" encoding="utf-8"?>
<styleSheet xmlns="http://schemas.openxmlformats.org/spreadsheetml/2006/main">
  <numFmts count="0"/>
  <fonts count="14">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
      <name val="Aptos Narrow"/>
      <b val="1"/>
      <color rgb="00068A53"/>
    </font>
  </fonts>
  <fills count="9">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FFFF00"/>
      </patternFill>
    </fill>
    <fill>
      <patternFill patternType="solid">
        <fgColor rgb="00E2EFD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6">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6" borderId="0" applyAlignment="1" pivotButton="0" quotePrefix="0" xfId="0">
      <alignment vertical="top" wrapText="1"/>
    </xf>
    <xf numFmtId="0" fontId="11" fillId="5" borderId="2" applyAlignment="1" pivotButton="0" quotePrefix="0" xfId="0">
      <alignment horizontal="center" vertical="center" wrapText="1"/>
    </xf>
    <xf numFmtId="0" fontId="0" fillId="5" borderId="2" pivotButton="0" quotePrefix="0" xfId="0"/>
    <xf numFmtId="0" fontId="9" fillId="0" borderId="2" applyAlignment="1" pivotButton="0" quotePrefix="0" xfId="0">
      <alignment vertical="top" wrapText="1"/>
    </xf>
    <xf numFmtId="0" fontId="12" fillId="7" borderId="2" applyAlignment="1" pivotButton="0" quotePrefix="0" xfId="0">
      <alignment vertical="top" wrapText="1"/>
    </xf>
    <xf numFmtId="0" fontId="13" fillId="8" borderId="2" applyAlignment="1" pivotButton="0" quotePrefix="0" xfId="0">
      <alignment vertical="center" wrapText="1"/>
    </xf>
    <xf numFmtId="0" fontId="0" fillId="8" borderId="2" pivotButton="0" quotePrefix="0" xfId="0"/>
  </cellXfs>
  <cellStyles count="1">
    <cellStyle name="Normal" xfId="0" builtinId="0"/>
  </cellStyles>
  <dxfs count="3">
    <dxf>
      <fill>
        <patternFill patternType="solid">
          <fgColor rgb="00F4B6B6"/>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8"/>
  <sheetViews>
    <sheetView showGridLines="0" workbookViewId="0">
      <selection activeCell="A1" sqref="A1"/>
    </sheetView>
  </sheetViews>
  <sheetFormatPr baseColWidth="8" defaultRowHeight="15"/>
  <cols>
    <col width="120" customWidth="1" min="1" max="1"/>
  </cols>
  <sheetData>
    <row r="1" ht="30" customHeight="1">
      <c r="A1" s="15" t="inlineStr">
        <is>
          <t>Risk Assessment Log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8" t="inlineStr">
        <is>
          <t>Yellow cells containing text in [square brackets] are placeholders – replace them with your own details. Green header cells are column headings; do not delete a column unless the guidance for that column says you may.</t>
        </is>
      </c>
    </row>
    <row r="7" ht="49" customHeight="1">
      <c r="A7"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8" t="inlineStr">
        <is>
          <t>Drop-down lists are provided for consistency. The underlying lists are on a hidden sheet called “Lists” – unhide it (right-click any sheet tab, Unhide) if you need to change them.</t>
        </is>
      </c>
    </row>
    <row r="9" ht="34" customHeight="1">
      <c r="A9" s="18" t="inlineStr">
        <is>
          <t>Keep this register securely, restrict access to the people who need it, and keep it for the retention period set out in the relevant policy and your Data Retention Schedule.</t>
        </is>
      </c>
    </row>
    <row r="10" ht="22" customHeight="1">
      <c r="A10" s="17" t="inlineStr">
        <is>
          <t>What this log is</t>
        </is>
      </c>
    </row>
    <row r="11" ht="49" customHeight="1">
      <c r="A11" s="18" t="inlineStr">
        <is>
          <t>This is the Risk Register referred to in the Risk Management Framework. It records the risks your business model creates for customers, the market and the firm, how you control them, and whether they are within your risk appetite. (The anti-money laundering Business-Wide Risk Assessment is a separate workbook.)</t>
        </is>
      </c>
    </row>
    <row r="12" ht="22" customHeight="1">
      <c r="A12" s="17" t="inlineStr">
        <is>
          <t>Scoring (Risk Management Framework, section 5.2)</t>
        </is>
      </c>
    </row>
    <row r="13" ht="34" customHeight="1">
      <c r="A13" s="18" t="inlineStr">
        <is>
          <t>Score each risk for impact (1–5) and likelihood (1–5), first before controls (inherent) and then after controls (residual). The log multiplies them. Residual scores of 15 or more are HIGH, 8 to 14 MEDIUM and 1 to 7 LOW.</t>
        </is>
      </c>
    </row>
    <row r="14" ht="49" customHeight="1">
      <c r="A14" s="18" t="inlineStr">
        <is>
          <t>Impact: 1 Very low – negligible effect on customers or the firm; 2 Low – minor, easily corrected; 3 Medium – some customer detriment or regulatory breach; 4 High – significant customer harm, material loss or reportable breach; 5 Very high – widespread harm, threat to the firm’s viability or authorisation.</t>
        </is>
      </c>
    </row>
    <row r="15" ht="34" customHeight="1">
      <c r="A15" s="18" t="inlineStr">
        <is>
          <t>Likelihood: 1 Rare (less than once in 5 years); 2 Unlikely (once in 2–5 years); 3 Possible (once a year); 4 Likely (several times a year); 5 Almost certain (monthly or more).</t>
        </is>
      </c>
    </row>
    <row r="16" ht="22" customHeight="1">
      <c r="A16" s="17" t="inlineStr">
        <is>
          <t>Starter risks</t>
        </is>
      </c>
    </row>
    <row r="17" ht="49" customHeight="1">
      <c r="A17" s="18" t="inlineStr">
        <is>
          <t>The log is pre-populated with common risks to help you start. They are examples, not a finished assessment: rewrite each in terms of your own business, delete any that do not apply, add your own, and score them. Activity-specific risks sit under green OPTION rows. The FCA expects a register that is clearly specific to your firm.</t>
        </is>
      </c>
    </row>
    <row r="18" ht="34" customHeight="1">
      <c r="A18" s="18" t="inlineStr">
        <is>
          <t>Review the log at least [Insert frequency, e.g. quarterly] and report high and increasing risks to [Insert: the board / the directors / the business owner].</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U68"/>
  <sheetViews>
    <sheetView showGridLines="0" workbookViewId="0">
      <pane ySplit="5" topLeftCell="A6" activePane="bottomLeft" state="frozen"/>
      <selection pane="bottomLeft" activeCell="A1" sqref="A1"/>
    </sheetView>
  </sheetViews>
  <sheetFormatPr baseColWidth="8" defaultRowHeight="15"/>
  <cols>
    <col width="9" customWidth="1" min="1" max="1"/>
    <col width="20" customWidth="1" min="2" max="2"/>
    <col width="18" customWidth="1" min="3" max="3"/>
    <col width="26" customWidth="1" min="4" max="4"/>
    <col width="44" customWidth="1" min="5" max="5"/>
    <col width="10" customWidth="1" min="6" max="6"/>
    <col width="10" customWidth="1" min="7" max="7"/>
    <col width="9" customWidth="1" min="8" max="8"/>
    <col width="38" customWidth="1" min="9" max="9"/>
    <col width="14" customWidth="1" min="10" max="10"/>
    <col width="10" customWidth="1" min="11" max="11"/>
    <col width="10" customWidth="1" min="12" max="12"/>
    <col width="9" customWidth="1" min="13" max="13"/>
    <col width="10" customWidth="1" min="14" max="14"/>
    <col width="10" customWidth="1" min="15" max="15"/>
    <col width="15" customWidth="1" min="16" max="16"/>
    <col width="30" customWidth="1" min="17" max="17"/>
    <col width="11" customWidth="1" min="18" max="18"/>
    <col width="14" customWidth="1" min="19" max="19"/>
    <col width="11" customWidth="1" min="20" max="20"/>
    <col width="11" customWidth="1" min="21" max="21"/>
  </cols>
  <sheetData>
    <row r="1" ht="30" customHeight="1">
      <c r="A1" s="15" t="inlineStr">
        <is>
          <t>Risk Assessment Log</t>
        </is>
      </c>
    </row>
    <row r="2" ht="20" customHeight="1">
      <c r="A2" s="16" t="inlineStr">
        <is>
          <t>Firm: [Insert firm legal name]   |   Register owner: [Insert name and role]   |   Last reviewed: [Insert date]</t>
        </is>
      </c>
    </row>
    <row r="3" ht="19" customHeight="1">
      <c r="A3" s="19" t="inlineStr">
        <is>
          <t>KMS guidance: Starter risks are examples – rewrite, score and add to them. Scores and ratings calculate automatically. Delete OPTION rows for activities you do not carry on.</t>
        </is>
      </c>
    </row>
    <row r="4">
      <c r="A4" s="20" t="inlineStr">
        <is>
          <t>Risk identification</t>
        </is>
      </c>
      <c r="B4" s="21" t="n"/>
      <c r="C4" s="21" t="n"/>
      <c r="D4" s="21" t="n"/>
      <c r="E4" s="21" t="n"/>
      <c r="F4" s="20" t="inlineStr">
        <is>
          <t>Inherent risk</t>
        </is>
      </c>
      <c r="G4" s="21" t="n"/>
      <c r="H4" s="21" t="n"/>
      <c r="I4" s="20" t="inlineStr">
        <is>
          <t>Controls</t>
        </is>
      </c>
      <c r="J4" s="21" t="n"/>
      <c r="K4" s="20" t="inlineStr">
        <is>
          <t>Residual risk</t>
        </is>
      </c>
      <c r="L4" s="21" t="n"/>
      <c r="M4" s="21" t="n"/>
      <c r="N4" s="21" t="n"/>
      <c r="O4" s="21" t="n"/>
      <c r="P4" s="20" t="inlineStr">
        <is>
          <t>Ownership and action</t>
        </is>
      </c>
      <c r="Q4" s="21" t="n"/>
      <c r="R4" s="21" t="n"/>
      <c r="S4" s="21" t="n"/>
      <c r="T4" s="21" t="n"/>
      <c r="U4" s="21" t="n"/>
    </row>
    <row r="5" ht="48" customHeight="1">
      <c r="A5" s="20" t="inlineStr">
        <is>
          <t>Risk ID</t>
        </is>
      </c>
      <c r="B5" s="20" t="inlineStr">
        <is>
          <t>Category</t>
        </is>
      </c>
      <c r="C5" s="20" t="inlineStr">
        <is>
          <t>Activity</t>
        </is>
      </c>
      <c r="D5" s="20" t="inlineStr">
        <is>
          <t>Risk summary</t>
        </is>
      </c>
      <c r="E5" s="20" t="inlineStr">
        <is>
          <t>Risk description (cause → event → consequence)</t>
        </is>
      </c>
      <c r="F5" s="20" t="inlineStr">
        <is>
          <t>Inherent impact (1–5)</t>
        </is>
      </c>
      <c r="G5" s="20" t="inlineStr">
        <is>
          <t>Inherent likelihood (1–5)</t>
        </is>
      </c>
      <c r="H5" s="20" t="inlineStr">
        <is>
          <t>Inherent score</t>
        </is>
      </c>
      <c r="I5" s="20" t="inlineStr">
        <is>
          <t>Key controls</t>
        </is>
      </c>
      <c r="J5" s="20" t="inlineStr">
        <is>
          <t>Control effectiveness</t>
        </is>
      </c>
      <c r="K5" s="20" t="inlineStr">
        <is>
          <t>Residual impact (1–5)</t>
        </is>
      </c>
      <c r="L5" s="20" t="inlineStr">
        <is>
          <t>Residual likelihood (1–5)</t>
        </is>
      </c>
      <c r="M5" s="20" t="inlineStr">
        <is>
          <t>Residual score</t>
        </is>
      </c>
      <c r="N5" s="20" t="inlineStr">
        <is>
          <t>Residual rating</t>
        </is>
      </c>
      <c r="O5" s="20" t="inlineStr">
        <is>
          <t>Within appetite?</t>
        </is>
      </c>
      <c r="P5" s="20" t="inlineStr">
        <is>
          <t>Risk owner</t>
        </is>
      </c>
      <c r="Q5" s="20" t="inlineStr">
        <is>
          <t>Further actions</t>
        </is>
      </c>
      <c r="R5" s="20" t="inlineStr">
        <is>
          <t>Action due</t>
        </is>
      </c>
      <c r="S5" s="20" t="inlineStr">
        <is>
          <t>Status</t>
        </is>
      </c>
      <c r="T5" s="20" t="inlineStr">
        <is>
          <t>Last reviewed</t>
        </is>
      </c>
      <c r="U5" s="20" t="inlineStr">
        <is>
          <t>Next review</t>
        </is>
      </c>
    </row>
    <row r="6" ht="60" customHeight="1">
      <c r="A6" s="22" t="inlineStr">
        <is>
          <t>R01</t>
        </is>
      </c>
      <c r="B6" s="22" t="inlineStr">
        <is>
          <t>Conduct and customer harm</t>
        </is>
      </c>
      <c r="C6" s="22" t="inlineStr">
        <is>
          <t>All activities</t>
        </is>
      </c>
      <c r="D6" s="22" t="inlineStr">
        <is>
          <t>Poor customer outcomes</t>
        </is>
      </c>
      <c r="E6" s="22" t="inlineStr">
        <is>
          <t>Customers receive products, services or support that do not meet their needs, leading to financial loss or distress (Consumer Duty).</t>
        </is>
      </c>
      <c r="F6" s="22" t="n"/>
      <c r="G6" s="22" t="n"/>
      <c r="H6" s="22">
        <f>IF(OR(F6="",G6=""),"",F6*G6)</f>
        <v/>
      </c>
      <c r="I6" s="22" t="inlineStr">
        <is>
          <t>Target market and product approval; outcome MI; file reviews; complaints root cause analysis.</t>
        </is>
      </c>
      <c r="J6" s="22" t="n"/>
      <c r="K6" s="22" t="n"/>
      <c r="L6" s="22" t="n"/>
      <c r="M6" s="22">
        <f>IF(OR(K6="",L6=""),"",K6*L6)</f>
        <v/>
      </c>
      <c r="N6" s="22">
        <f>IF(M6="","",IF(M6&gt;=15,"HIGH",IF(M6&gt;=8,"MEDIUM","LOW")))</f>
        <v/>
      </c>
      <c r="O6" s="22" t="n"/>
      <c r="P6" s="23" t="inlineStr">
        <is>
          <t>[Insert owner]</t>
        </is>
      </c>
      <c r="Q6" s="22" t="n"/>
      <c r="R6" s="22" t="n"/>
      <c r="S6" s="22" t="n"/>
      <c r="T6" s="22" t="n"/>
      <c r="U6" s="22" t="n"/>
    </row>
    <row r="7" ht="60" customHeight="1">
      <c r="A7" s="22" t="inlineStr">
        <is>
          <t>R02</t>
        </is>
      </c>
      <c r="B7" s="22" t="inlineStr">
        <is>
          <t>Conduct and customer harm</t>
        </is>
      </c>
      <c r="C7" s="22" t="inlineStr">
        <is>
          <t>All activities</t>
        </is>
      </c>
      <c r="D7" s="22" t="inlineStr">
        <is>
          <t>Vulnerable customers not identified or supported</t>
        </is>
      </c>
      <c r="E7" s="22" t="inlineStr">
        <is>
          <t>Staff fail to recognise or respond to characteristics of vulnerability, so these customers receive worse outcomes.</t>
        </is>
      </c>
      <c r="F7" s="22" t="n"/>
      <c r="G7" s="22" t="n"/>
      <c r="H7" s="22">
        <f>IF(OR(F7="",G7=""),"",F7*G7)</f>
        <v/>
      </c>
      <c r="I7" s="22" t="inlineStr">
        <is>
          <t>Vulnerability Policy; training; recording and flags; outcome comparison MI.</t>
        </is>
      </c>
      <c r="J7" s="22" t="n"/>
      <c r="K7" s="22" t="n"/>
      <c r="L7" s="22" t="n"/>
      <c r="M7" s="22">
        <f>IF(OR(K7="",L7=""),"",K7*L7)</f>
        <v/>
      </c>
      <c r="N7" s="22">
        <f>IF(M7="","",IF(M7&gt;=15,"HIGH",IF(M7&gt;=8,"MEDIUM","LOW")))</f>
        <v/>
      </c>
      <c r="O7" s="22" t="n"/>
      <c r="P7" s="23" t="inlineStr">
        <is>
          <t>[Insert owner]</t>
        </is>
      </c>
      <c r="Q7" s="22" t="n"/>
      <c r="R7" s="22" t="n"/>
      <c r="S7" s="22" t="n"/>
      <c r="T7" s="22" t="n"/>
      <c r="U7" s="22" t="n"/>
    </row>
    <row r="8" ht="60" customHeight="1">
      <c r="A8" s="22" t="inlineStr">
        <is>
          <t>R03</t>
        </is>
      </c>
      <c r="B8" s="22" t="inlineStr">
        <is>
          <t>Regulatory and legal</t>
        </is>
      </c>
      <c r="C8" s="22" t="inlineStr">
        <is>
          <t>All activities</t>
        </is>
      </c>
      <c r="D8" s="22" t="inlineStr">
        <is>
          <t>Non-compliant financial promotions</t>
        </is>
      </c>
      <c r="E8" s="22" t="inlineStr">
        <is>
          <t>A promotion (including social media or third-party content) is misleading or omits required information.</t>
        </is>
      </c>
      <c r="F8" s="22" t="n"/>
      <c r="G8" s="22" t="n"/>
      <c r="H8" s="22">
        <f>IF(OR(F8="",G8=""),"",F8*G8)</f>
        <v/>
      </c>
      <c r="I8" s="22" t="inlineStr">
        <is>
          <t>Pre-approval by competent approver; Financial Promotions Log; periodic review of live promotions.</t>
        </is>
      </c>
      <c r="J8" s="22" t="n"/>
      <c r="K8" s="22" t="n"/>
      <c r="L8" s="22" t="n"/>
      <c r="M8" s="22">
        <f>IF(OR(K8="",L8=""),"",K8*L8)</f>
        <v/>
      </c>
      <c r="N8" s="22">
        <f>IF(M8="","",IF(M8&gt;=15,"HIGH",IF(M8&gt;=8,"MEDIUM","LOW")))</f>
        <v/>
      </c>
      <c r="O8" s="22" t="n"/>
      <c r="P8" s="23" t="inlineStr">
        <is>
          <t>[Insert owner]</t>
        </is>
      </c>
      <c r="Q8" s="22" t="n"/>
      <c r="R8" s="22" t="n"/>
      <c r="S8" s="22" t="n"/>
      <c r="T8" s="22" t="n"/>
      <c r="U8" s="22" t="n"/>
    </row>
    <row r="9" ht="60" customHeight="1">
      <c r="A9" s="22" t="inlineStr">
        <is>
          <t>R04</t>
        </is>
      </c>
      <c r="B9" s="22" t="inlineStr">
        <is>
          <t>Regulatory and legal</t>
        </is>
      </c>
      <c r="C9" s="22" t="inlineStr">
        <is>
          <t>All activities</t>
        </is>
      </c>
      <c r="D9" s="22" t="inlineStr">
        <is>
          <t>Complaints mishandled</t>
        </is>
      </c>
      <c r="E9" s="22" t="inlineStr">
        <is>
          <t>Complaints are not recognised, are handled late or unfairly, or root causes are not fixed.</t>
        </is>
      </c>
      <c r="F9" s="22" t="n"/>
      <c r="G9" s="22" t="n"/>
      <c r="H9" s="22">
        <f>IF(OR(F9="",G9=""),"",F9*G9)</f>
        <v/>
      </c>
      <c r="I9" s="22" t="inlineStr">
        <is>
          <t>Complaints Procedure; Complaints Register with deadline tracking; quarterly review.</t>
        </is>
      </c>
      <c r="J9" s="22" t="n"/>
      <c r="K9" s="22" t="n"/>
      <c r="L9" s="22" t="n"/>
      <c r="M9" s="22">
        <f>IF(OR(K9="",L9=""),"",K9*L9)</f>
        <v/>
      </c>
      <c r="N9" s="22">
        <f>IF(M9="","",IF(M9&gt;=15,"HIGH",IF(M9&gt;=8,"MEDIUM","LOW")))</f>
        <v/>
      </c>
      <c r="O9" s="22" t="n"/>
      <c r="P9" s="23" t="inlineStr">
        <is>
          <t>[Insert owner]</t>
        </is>
      </c>
      <c r="Q9" s="22" t="n"/>
      <c r="R9" s="22" t="n"/>
      <c r="S9" s="22" t="n"/>
      <c r="T9" s="22" t="n"/>
      <c r="U9" s="22" t="n"/>
    </row>
    <row r="10" ht="60" customHeight="1">
      <c r="A10" s="22" t="inlineStr">
        <is>
          <t>R05</t>
        </is>
      </c>
      <c r="B10" s="22" t="inlineStr">
        <is>
          <t>Regulatory and legal</t>
        </is>
      </c>
      <c r="C10" s="22" t="inlineStr">
        <is>
          <t>All activities</t>
        </is>
      </c>
      <c r="D10" s="22" t="inlineStr">
        <is>
          <t>Regulatory change missed</t>
        </is>
      </c>
      <c r="E10" s="22" t="inlineStr">
        <is>
          <t>New or changed rules are not identified and implemented on time.</t>
        </is>
      </c>
      <c r="F10" s="22" t="n"/>
      <c r="G10" s="22" t="n"/>
      <c r="H10" s="22">
        <f>IF(OR(F10="",G10=""),"",F10*G10)</f>
        <v/>
      </c>
      <c r="I10" s="22" t="inlineStr">
        <is>
          <t>Regulatory updates from [Insert source]; Compliance Universe Register; external compliance support.</t>
        </is>
      </c>
      <c r="J10" s="22" t="n"/>
      <c r="K10" s="22" t="n"/>
      <c r="L10" s="22" t="n"/>
      <c r="M10" s="22">
        <f>IF(OR(K10="",L10=""),"",K10*L10)</f>
        <v/>
      </c>
      <c r="N10" s="22">
        <f>IF(M10="","",IF(M10&gt;=15,"HIGH",IF(M10&gt;=8,"MEDIUM","LOW")))</f>
        <v/>
      </c>
      <c r="O10" s="22" t="n"/>
      <c r="P10" s="23" t="inlineStr">
        <is>
          <t>[Insert owner]</t>
        </is>
      </c>
      <c r="Q10" s="22" t="n"/>
      <c r="R10" s="22" t="n"/>
      <c r="S10" s="22" t="n"/>
      <c r="T10" s="22" t="n"/>
      <c r="U10" s="22" t="n"/>
    </row>
    <row r="11" ht="60" customHeight="1">
      <c r="A11" s="22" t="inlineStr">
        <is>
          <t>R06</t>
        </is>
      </c>
      <c r="B11" s="22" t="inlineStr">
        <is>
          <t>Financial crime</t>
        </is>
      </c>
      <c r="C11" s="22" t="inlineStr">
        <is>
          <t>All activities</t>
        </is>
      </c>
      <c r="D11" s="22" t="inlineStr">
        <is>
          <t>Firm used for money laundering or fraud</t>
        </is>
      </c>
      <c r="E11" s="22" t="inlineStr">
        <is>
          <t>Criminals use our services to launder money or commit fraud (application, identity or payment fraud).</t>
        </is>
      </c>
      <c r="F11" s="22" t="n"/>
      <c r="G11" s="22" t="n"/>
      <c r="H11" s="22">
        <f>IF(OR(F11="",G11=""),"",F11*G11)</f>
        <v/>
      </c>
      <c r="I11" s="22" t="inlineStr">
        <is>
          <t>CDD and EDD; sanctions screening; staff training; suspicion reporting to MLRO.</t>
        </is>
      </c>
      <c r="J11" s="22" t="n"/>
      <c r="K11" s="22" t="n"/>
      <c r="L11" s="22" t="n"/>
      <c r="M11" s="22">
        <f>IF(OR(K11="",L11=""),"",K11*L11)</f>
        <v/>
      </c>
      <c r="N11" s="22">
        <f>IF(M11="","",IF(M11&gt;=15,"HIGH",IF(M11&gt;=8,"MEDIUM","LOW")))</f>
        <v/>
      </c>
      <c r="O11" s="22" t="n"/>
      <c r="P11" s="23" t="inlineStr">
        <is>
          <t>[Insert owner]</t>
        </is>
      </c>
      <c r="Q11" s="22" t="n"/>
      <c r="R11" s="22" t="n"/>
      <c r="S11" s="22" t="n"/>
      <c r="T11" s="22" t="n"/>
      <c r="U11" s="22" t="n"/>
    </row>
    <row r="12" ht="60" customHeight="1">
      <c r="A12" s="22" t="inlineStr">
        <is>
          <t>R07</t>
        </is>
      </c>
      <c r="B12" s="22" t="inlineStr">
        <is>
          <t>Operational</t>
        </is>
      </c>
      <c r="C12" s="22" t="inlineStr">
        <is>
          <t>All activities</t>
        </is>
      </c>
      <c r="D12" s="22" t="inlineStr">
        <is>
          <t>Key person dependency</t>
        </is>
      </c>
      <c r="E12" s="22" t="inlineStr">
        <is>
          <t>The loss or absence of [Insert name / role] disrupts regulated activity or oversight.</t>
        </is>
      </c>
      <c r="F12" s="22" t="n"/>
      <c r="G12" s="22" t="n"/>
      <c r="H12" s="22">
        <f>IF(OR(F12="",G12=""),"",F12*G12)</f>
        <v/>
      </c>
      <c r="I12" s="22" t="inlineStr">
        <is>
          <t>Documented procedures; cover arrangements; business continuity plan.</t>
        </is>
      </c>
      <c r="J12" s="22" t="n"/>
      <c r="K12" s="22" t="n"/>
      <c r="L12" s="22" t="n"/>
      <c r="M12" s="22">
        <f>IF(OR(K12="",L12=""),"",K12*L12)</f>
        <v/>
      </c>
      <c r="N12" s="22">
        <f>IF(M12="","",IF(M12&gt;=15,"HIGH",IF(M12&gt;=8,"MEDIUM","LOW")))</f>
        <v/>
      </c>
      <c r="O12" s="22" t="n"/>
      <c r="P12" s="23" t="inlineStr">
        <is>
          <t>[Insert owner]</t>
        </is>
      </c>
      <c r="Q12" s="22" t="n"/>
      <c r="R12" s="22" t="n"/>
      <c r="S12" s="22" t="n"/>
      <c r="T12" s="22" t="n"/>
      <c r="U12" s="22" t="n"/>
    </row>
    <row r="13" ht="60" customHeight="1">
      <c r="A13" s="22" t="inlineStr">
        <is>
          <t>R08</t>
        </is>
      </c>
      <c r="B13" s="22" t="inlineStr">
        <is>
          <t>Operational</t>
        </is>
      </c>
      <c r="C13" s="22" t="inlineStr">
        <is>
          <t>All activities</t>
        </is>
      </c>
      <c r="D13" s="22" t="inlineStr">
        <is>
          <t>Outsourcing / supplier failure</t>
        </is>
      </c>
      <c r="E13" s="22" t="inlineStr">
        <is>
          <t>A critical supplier (e.g. IT, CRM, lender or insurer platform) fails or performs poorly.</t>
        </is>
      </c>
      <c r="F13" s="22" t="n"/>
      <c r="G13" s="22" t="n"/>
      <c r="H13" s="22">
        <f>IF(OR(F13="",G13=""),"",F13*G13)</f>
        <v/>
      </c>
      <c r="I13" s="22" t="inlineStr">
        <is>
          <t>Supplier due diligence; contracts; monitoring; exit plans.</t>
        </is>
      </c>
      <c r="J13" s="22" t="n"/>
      <c r="K13" s="22" t="n"/>
      <c r="L13" s="22" t="n"/>
      <c r="M13" s="22">
        <f>IF(OR(K13="",L13=""),"",K13*L13)</f>
        <v/>
      </c>
      <c r="N13" s="22">
        <f>IF(M13="","",IF(M13&gt;=15,"HIGH",IF(M13&gt;=8,"MEDIUM","LOW")))</f>
        <v/>
      </c>
      <c r="O13" s="22" t="n"/>
      <c r="P13" s="23" t="inlineStr">
        <is>
          <t>[Insert owner]</t>
        </is>
      </c>
      <c r="Q13" s="22" t="n"/>
      <c r="R13" s="22" t="n"/>
      <c r="S13" s="22" t="n"/>
      <c r="T13" s="22" t="n"/>
      <c r="U13" s="22" t="n"/>
    </row>
    <row r="14" ht="60" customHeight="1">
      <c r="A14" s="22" t="inlineStr">
        <is>
          <t>R09</t>
        </is>
      </c>
      <c r="B14" s="22" t="inlineStr">
        <is>
          <t>Technology, cyber and data</t>
        </is>
      </c>
      <c r="C14" s="22" t="inlineStr">
        <is>
          <t>All activities</t>
        </is>
      </c>
      <c r="D14" s="22" t="inlineStr">
        <is>
          <t>Cyber attack or data breach</t>
        </is>
      </c>
      <c r="E14" s="22" t="inlineStr">
        <is>
          <t>Customer personal data is lost, stolen or disclosed, or systems are unavailable.</t>
        </is>
      </c>
      <c r="F14" s="22" t="n"/>
      <c r="G14" s="22" t="n"/>
      <c r="H14" s="22">
        <f>IF(OR(F14="",G14=""),"",F14*G14)</f>
        <v/>
      </c>
      <c r="I14" s="22" t="inlineStr">
        <is>
          <t>Multi-factor authentication; encryption; patching; back-ups; training; breach procedure.</t>
        </is>
      </c>
      <c r="J14" s="22" t="n"/>
      <c r="K14" s="22" t="n"/>
      <c r="L14" s="22" t="n"/>
      <c r="M14" s="22">
        <f>IF(OR(K14="",L14=""),"",K14*L14)</f>
        <v/>
      </c>
      <c r="N14" s="22">
        <f>IF(M14="","",IF(M14&gt;=15,"HIGH",IF(M14&gt;=8,"MEDIUM","LOW")))</f>
        <v/>
      </c>
      <c r="O14" s="22" t="n"/>
      <c r="P14" s="23" t="inlineStr">
        <is>
          <t>[Insert owner]</t>
        </is>
      </c>
      <c r="Q14" s="22" t="n"/>
      <c r="R14" s="22" t="n"/>
      <c r="S14" s="22" t="n"/>
      <c r="T14" s="22" t="n"/>
      <c r="U14" s="22" t="n"/>
    </row>
    <row r="15" ht="60" customHeight="1">
      <c r="A15" s="22" t="inlineStr">
        <is>
          <t>R10</t>
        </is>
      </c>
      <c r="B15" s="22" t="inlineStr">
        <is>
          <t>Financial and prudential</t>
        </is>
      </c>
      <c r="C15" s="22" t="inlineStr">
        <is>
          <t>All activities</t>
        </is>
      </c>
      <c r="D15" s="22" t="inlineStr">
        <is>
          <t>Insufficient financial resources</t>
        </is>
      </c>
      <c r="E15" s="22" t="inlineStr">
        <is>
          <t>Income falls or costs (including redress) rise so that we cannot meet the Threshold Conditions or wind down in an orderly way.</t>
        </is>
      </c>
      <c r="F15" s="22" t="n"/>
      <c r="G15" s="22" t="n"/>
      <c r="H15" s="22">
        <f>IF(OR(F15="",G15=""),"",F15*G15)</f>
        <v/>
      </c>
      <c r="I15" s="22" t="inlineStr">
        <is>
          <t>Cash-flow forecasting; minimum buffer; stress testing; wind-down plan.</t>
        </is>
      </c>
      <c r="J15" s="22" t="n"/>
      <c r="K15" s="22" t="n"/>
      <c r="L15" s="22" t="n"/>
      <c r="M15" s="22">
        <f>IF(OR(K15="",L15=""),"",K15*L15)</f>
        <v/>
      </c>
      <c r="N15" s="22">
        <f>IF(M15="","",IF(M15&gt;=15,"HIGH",IF(M15&gt;=8,"MEDIUM","LOW")))</f>
        <v/>
      </c>
      <c r="O15" s="22" t="n"/>
      <c r="P15" s="23" t="inlineStr">
        <is>
          <t>[Insert owner]</t>
        </is>
      </c>
      <c r="Q15" s="22" t="n"/>
      <c r="R15" s="22" t="n"/>
      <c r="S15" s="22" t="n"/>
      <c r="T15" s="22" t="n"/>
      <c r="U15" s="22" t="n"/>
    </row>
    <row r="16" ht="60" customHeight="1">
      <c r="A16" s="22" t="inlineStr">
        <is>
          <t>R11</t>
        </is>
      </c>
      <c r="B16" s="22" t="inlineStr">
        <is>
          <t>Strategic and business model</t>
        </is>
      </c>
      <c r="C16" s="22" t="inlineStr">
        <is>
          <t>All activities</t>
        </is>
      </c>
      <c r="D16" s="22" t="inlineStr">
        <is>
          <t>Business model not viable</t>
        </is>
      </c>
      <c r="E16" s="22" t="inlineStr">
        <is>
          <t>Market, competition or regulatory change makes the business model unsustainable.</t>
        </is>
      </c>
      <c r="F16" s="22" t="n"/>
      <c r="G16" s="22" t="n"/>
      <c r="H16" s="22">
        <f>IF(OR(F16="",G16=""),"",F16*G16)</f>
        <v/>
      </c>
      <c r="I16" s="22" t="inlineStr">
        <is>
          <t>Business plan review; board oversight; diversification of income.</t>
        </is>
      </c>
      <c r="J16" s="22" t="n"/>
      <c r="K16" s="22" t="n"/>
      <c r="L16" s="22" t="n"/>
      <c r="M16" s="22">
        <f>IF(OR(K16="",L16=""),"",K16*L16)</f>
        <v/>
      </c>
      <c r="N16" s="22">
        <f>IF(M16="","",IF(M16&gt;=15,"HIGH",IF(M16&gt;=8,"MEDIUM","LOW")))</f>
        <v/>
      </c>
      <c r="O16" s="22" t="n"/>
      <c r="P16" s="23" t="inlineStr">
        <is>
          <t>[Insert owner]</t>
        </is>
      </c>
      <c r="Q16" s="22" t="n"/>
      <c r="R16" s="22" t="n"/>
      <c r="S16" s="22" t="n"/>
      <c r="T16" s="22" t="n"/>
      <c r="U16" s="22" t="n"/>
    </row>
    <row r="17" ht="60" customHeight="1">
      <c r="A17" s="22" t="inlineStr">
        <is>
          <t>R12</t>
        </is>
      </c>
      <c r="B17" s="22" t="inlineStr">
        <is>
          <t>Reputational</t>
        </is>
      </c>
      <c r="C17" s="22" t="inlineStr">
        <is>
          <t>All activities</t>
        </is>
      </c>
      <c r="D17" s="22" t="inlineStr">
        <is>
          <t>Loss of trust</t>
        </is>
      </c>
      <c r="E17" s="22" t="inlineStr">
        <is>
          <t>Poor outcomes, complaints or media coverage damage our reputation with customers, partners or the FCA.</t>
        </is>
      </c>
      <c r="F17" s="22" t="n"/>
      <c r="G17" s="22" t="n"/>
      <c r="H17" s="22">
        <f>IF(OR(F17="",G17=""),"",F17*G17)</f>
        <v/>
      </c>
      <c r="I17" s="22" t="inlineStr">
        <is>
          <t>Consumer Duty monitoring; complaints handling; open relationship with the FCA.</t>
        </is>
      </c>
      <c r="J17" s="22" t="n"/>
      <c r="K17" s="22" t="n"/>
      <c r="L17" s="22" t="n"/>
      <c r="M17" s="22">
        <f>IF(OR(K17="",L17=""),"",K17*L17)</f>
        <v/>
      </c>
      <c r="N17" s="22">
        <f>IF(M17="","",IF(M17&gt;=15,"HIGH",IF(M17&gt;=8,"MEDIUM","LOW")))</f>
        <v/>
      </c>
      <c r="O17" s="22" t="n"/>
      <c r="P17" s="23" t="inlineStr">
        <is>
          <t>[Insert owner]</t>
        </is>
      </c>
      <c r="Q17" s="22" t="n"/>
      <c r="R17" s="22" t="n"/>
      <c r="S17" s="22" t="n"/>
      <c r="T17" s="22" t="n"/>
      <c r="U17" s="22" t="n"/>
    </row>
    <row r="18" ht="32" customHeight="1">
      <c r="A18" s="24" t="inlineStr">
        <is>
          <t>OPTION – Credit broking firms   [Keep the rows below, down to the next OPTION row, only if your firm carries on credit broking. Otherwise delete them.]</t>
        </is>
      </c>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row>
    <row r="19" ht="60" customHeight="1">
      <c r="A19" s="22" t="inlineStr">
        <is>
          <t>R13</t>
        </is>
      </c>
      <c r="B19" s="22" t="inlineStr">
        <is>
          <t>Conduct and customer harm</t>
        </is>
      </c>
      <c r="C19" s="22" t="inlineStr">
        <is>
          <t>Credit broking</t>
        </is>
      </c>
      <c r="D19" s="22" t="inlineStr">
        <is>
          <t>Inadequate explanations / pressure selling</t>
        </is>
      </c>
      <c r="E19" s="22" t="inlineStr">
        <is>
          <t>Customers enter credit agreements they do not understand or that are unsuitable.</t>
        </is>
      </c>
      <c r="F19" s="22" t="n"/>
      <c r="G19" s="22" t="n"/>
      <c r="H19" s="22">
        <f>IF(OR(F19="",G19=""),"",F19*G19)</f>
        <v/>
      </c>
      <c r="I19" s="22" t="inlineStr">
        <is>
          <t>Scripts; CONC 4.2 training; file reviews.</t>
        </is>
      </c>
      <c r="J19" s="22" t="n"/>
      <c r="K19" s="22" t="n"/>
      <c r="L19" s="22" t="n"/>
      <c r="M19" s="22">
        <f>IF(OR(K19="",L19=""),"",K19*L19)</f>
        <v/>
      </c>
      <c r="N19" s="22">
        <f>IF(M19="","",IF(M19&gt;=15,"HIGH",IF(M19&gt;=8,"MEDIUM","LOW")))</f>
        <v/>
      </c>
      <c r="O19" s="22" t="n"/>
      <c r="P19" s="23" t="inlineStr">
        <is>
          <t>[Insert owner]</t>
        </is>
      </c>
      <c r="Q19" s="22" t="n"/>
      <c r="R19" s="22" t="n"/>
      <c r="S19" s="22" t="n"/>
      <c r="T19" s="22" t="n"/>
      <c r="U19" s="22" t="n"/>
    </row>
    <row r="20" ht="60" customHeight="1">
      <c r="A20" s="22" t="inlineStr">
        <is>
          <t>R14</t>
        </is>
      </c>
      <c r="B20" s="22" t="inlineStr">
        <is>
          <t>Regulatory and legal</t>
        </is>
      </c>
      <c r="C20" s="22" t="inlineStr">
        <is>
          <t>Credit broking</t>
        </is>
      </c>
      <c r="D20" s="22" t="inlineStr">
        <is>
          <t>Commission disclosure failures</t>
        </is>
      </c>
      <c r="E20" s="22" t="inlineStr">
        <is>
          <t>Commission arrangements are not disclosed adequately, leading to complaints and redress.</t>
        </is>
      </c>
      <c r="F20" s="22" t="n"/>
      <c r="G20" s="22" t="n"/>
      <c r="H20" s="22">
        <f>IF(OR(F20="",G20=""),"",F20*G20)</f>
        <v/>
      </c>
      <c r="I20" s="22" t="inlineStr">
        <is>
          <t>Standard disclosures; lender panel review; monitoring.</t>
        </is>
      </c>
      <c r="J20" s="22" t="n"/>
      <c r="K20" s="22" t="n"/>
      <c r="L20" s="22" t="n"/>
      <c r="M20" s="22">
        <f>IF(OR(K20="",L20=""),"",K20*L20)</f>
        <v/>
      </c>
      <c r="N20" s="22">
        <f>IF(M20="","",IF(M20&gt;=15,"HIGH",IF(M20&gt;=8,"MEDIUM","LOW")))</f>
        <v/>
      </c>
      <c r="O20" s="22" t="n"/>
      <c r="P20" s="23" t="inlineStr">
        <is>
          <t>[Insert owner]</t>
        </is>
      </c>
      <c r="Q20" s="22" t="n"/>
      <c r="R20" s="22" t="n"/>
      <c r="S20" s="22" t="n"/>
      <c r="T20" s="22" t="n"/>
      <c r="U20" s="22" t="n"/>
    </row>
    <row r="21" ht="32" customHeight="1">
      <c r="A21" s="24" t="inlineStr">
        <is>
          <t>OPTION – Debt adjusting and debt counselling firms   [Keep the rows below, down to the next OPTION row, only if your firm carries on debt adjusting and/or debt counselling. Otherwise delete them.]</t>
        </is>
      </c>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row>
    <row r="22" ht="60" customHeight="1">
      <c r="A22" s="22" t="inlineStr">
        <is>
          <t>R15</t>
        </is>
      </c>
      <c r="B22" s="22" t="inlineStr">
        <is>
          <t>Conduct and customer harm</t>
        </is>
      </c>
      <c r="C22" s="22" t="inlineStr">
        <is>
          <t>Debt adjusting and debt counselling</t>
        </is>
      </c>
      <c r="D22" s="22" t="inlineStr">
        <is>
          <t>Unsuitable debt advice</t>
        </is>
      </c>
      <c r="E22" s="22" t="inlineStr">
        <is>
          <t>Customers are put into unsuitable or unsustainable solutions.</t>
        </is>
      </c>
      <c r="F22" s="22" t="n"/>
      <c r="G22" s="22" t="n"/>
      <c r="H22" s="22">
        <f>IF(OR(F22="",G22=""),"",F22*G22)</f>
        <v/>
      </c>
      <c r="I22" s="22" t="inlineStr">
        <is>
          <t>Qualified advisers; file reviews; free-advice signposting.</t>
        </is>
      </c>
      <c r="J22" s="22" t="n"/>
      <c r="K22" s="22" t="n"/>
      <c r="L22" s="22" t="n"/>
      <c r="M22" s="22">
        <f>IF(OR(K22="",L22=""),"",K22*L22)</f>
        <v/>
      </c>
      <c r="N22" s="22">
        <f>IF(M22="","",IF(M22&gt;=15,"HIGH",IF(M22&gt;=8,"MEDIUM","LOW")))</f>
        <v/>
      </c>
      <c r="O22" s="22" t="n"/>
      <c r="P22" s="23" t="inlineStr">
        <is>
          <t>[Insert owner]</t>
        </is>
      </c>
      <c r="Q22" s="22" t="n"/>
      <c r="R22" s="22" t="n"/>
      <c r="S22" s="22" t="n"/>
      <c r="T22" s="22" t="n"/>
      <c r="U22" s="22" t="n"/>
    </row>
    <row r="23" ht="60" customHeight="1">
      <c r="A23" s="22" t="inlineStr">
        <is>
          <t>R16</t>
        </is>
      </c>
      <c r="B23" s="22" t="inlineStr">
        <is>
          <t>Financial and prudential</t>
        </is>
      </c>
      <c r="C23" s="22" t="inlineStr">
        <is>
          <t>Debt adjusting and debt counselling</t>
        </is>
      </c>
      <c r="D23" s="22" t="inlineStr">
        <is>
          <t>Client money shortfall</t>
        </is>
      </c>
      <c r="E23" s="22" t="inlineStr">
        <is>
          <t>Client money is lost, misused or not distributed promptly (CASS 11).</t>
        </is>
      </c>
      <c r="F23" s="22" t="n"/>
      <c r="G23" s="22" t="n"/>
      <c r="H23" s="22">
        <f>IF(OR(F23="",G23=""),"",F23*G23)</f>
        <v/>
      </c>
      <c r="I23" s="22" t="inlineStr">
        <is>
          <t>Daily reconciliations; segregation; audit.</t>
        </is>
      </c>
      <c r="J23" s="22" t="n"/>
      <c r="K23" s="22" t="n"/>
      <c r="L23" s="22" t="n"/>
      <c r="M23" s="22">
        <f>IF(OR(K23="",L23=""),"",K23*L23)</f>
        <v/>
      </c>
      <c r="N23" s="22">
        <f>IF(M23="","",IF(M23&gt;=15,"HIGH",IF(M23&gt;=8,"MEDIUM","LOW")))</f>
        <v/>
      </c>
      <c r="O23" s="22" t="n"/>
      <c r="P23" s="23" t="inlineStr">
        <is>
          <t>[Insert owner]</t>
        </is>
      </c>
      <c r="Q23" s="22" t="n"/>
      <c r="R23" s="22" t="n"/>
      <c r="S23" s="22" t="n"/>
      <c r="T23" s="22" t="n"/>
      <c r="U23" s="22" t="n"/>
    </row>
    <row r="24" ht="32" customHeight="1">
      <c r="A24" s="24" t="inlineStr">
        <is>
          <t>OPTION – Debt collecting and debt administration firms   [Keep the rows below, down to the next OPTION row, only if your firm carries on debt collecting and/or debt administration. Otherwise delete them.]</t>
        </is>
      </c>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row>
    <row r="25" ht="60" customHeight="1">
      <c r="A25" s="22" t="inlineStr">
        <is>
          <t>R17</t>
        </is>
      </c>
      <c r="B25" s="22" t="inlineStr">
        <is>
          <t>Conduct and customer harm</t>
        </is>
      </c>
      <c r="C25" s="22" t="inlineStr">
        <is>
          <t>Debt collecting and debt administration</t>
        </is>
      </c>
      <c r="D25" s="22" t="inlineStr">
        <is>
          <t>Unfair collection practices</t>
        </is>
      </c>
      <c r="E25" s="22" t="inlineStr">
        <is>
          <t>Customers in difficulty are treated without forbearance or pressured (CONC 7).</t>
        </is>
      </c>
      <c r="F25" s="22" t="n"/>
      <c r="G25" s="22" t="n"/>
      <c r="H25" s="22">
        <f>IF(OR(F25="",G25=""),"",F25*G25)</f>
        <v/>
      </c>
      <c r="I25" s="22" t="inlineStr">
        <is>
          <t>Call monitoring; forbearance procedures; training.</t>
        </is>
      </c>
      <c r="J25" s="22" t="n"/>
      <c r="K25" s="22" t="n"/>
      <c r="L25" s="22" t="n"/>
      <c r="M25" s="22">
        <f>IF(OR(K25="",L25=""),"",K25*L25)</f>
        <v/>
      </c>
      <c r="N25" s="22">
        <f>IF(M25="","",IF(M25&gt;=15,"HIGH",IF(M25&gt;=8,"MEDIUM","LOW")))</f>
        <v/>
      </c>
      <c r="O25" s="22" t="n"/>
      <c r="P25" s="23" t="inlineStr">
        <is>
          <t>[Insert owner]</t>
        </is>
      </c>
      <c r="Q25" s="22" t="n"/>
      <c r="R25" s="22" t="n"/>
      <c r="S25" s="22" t="n"/>
      <c r="T25" s="22" t="n"/>
      <c r="U25" s="22" t="n"/>
    </row>
    <row r="26" ht="60" customHeight="1">
      <c r="A26" s="22" t="inlineStr">
        <is>
          <t>R18</t>
        </is>
      </c>
      <c r="B26" s="22" t="inlineStr">
        <is>
          <t>Regulatory and legal</t>
        </is>
      </c>
      <c r="C26" s="22" t="inlineStr">
        <is>
          <t>Debt collecting and debt administration</t>
        </is>
      </c>
      <c r="D26" s="22" t="inlineStr">
        <is>
          <t>Pursuing wrong or disputed debts</t>
        </is>
      </c>
      <c r="E26" s="22" t="inlineStr">
        <is>
          <t>Collection continues on disputed or statute-barred debts, or the wrong person.</t>
        </is>
      </c>
      <c r="F26" s="22" t="n"/>
      <c r="G26" s="22" t="n"/>
      <c r="H26" s="22">
        <f>IF(OR(F26="",G26=""),"",F26*G26)</f>
        <v/>
      </c>
      <c r="I26" s="22" t="inlineStr">
        <is>
          <t>ID checks; dispute suspension; data validation.</t>
        </is>
      </c>
      <c r="J26" s="22" t="n"/>
      <c r="K26" s="22" t="n"/>
      <c r="L26" s="22" t="n"/>
      <c r="M26" s="22">
        <f>IF(OR(K26="",L26=""),"",K26*L26)</f>
        <v/>
      </c>
      <c r="N26" s="22">
        <f>IF(M26="","",IF(M26&gt;=15,"HIGH",IF(M26&gt;=8,"MEDIUM","LOW")))</f>
        <v/>
      </c>
      <c r="O26" s="22" t="n"/>
      <c r="P26" s="23" t="inlineStr">
        <is>
          <t>[Insert owner]</t>
        </is>
      </c>
      <c r="Q26" s="22" t="n"/>
      <c r="R26" s="22" t="n"/>
      <c r="S26" s="22" t="n"/>
      <c r="T26" s="22" t="n"/>
      <c r="U26" s="22" t="n"/>
    </row>
    <row r="27" ht="32" customHeight="1">
      <c r="A27" s="24" t="inlineStr">
        <is>
          <t>OPTION – Credit information services and credit references firms   [Keep the rows below, down to the next OPTION row, only if your firm provides credit information services and/or credit references. Otherwise delete them.]</t>
        </is>
      </c>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row>
    <row r="28" ht="60" customHeight="1">
      <c r="A28" s="22" t="inlineStr">
        <is>
          <t>R19</t>
        </is>
      </c>
      <c r="B28" s="22" t="inlineStr">
        <is>
          <t>Conduct and customer harm</t>
        </is>
      </c>
      <c r="C28" s="22" t="inlineStr">
        <is>
          <t>Credit information services and credit references</t>
        </is>
      </c>
      <c r="D28" s="22" t="inlineStr">
        <is>
          <t>Inaccurate credit data</t>
        </is>
      </c>
      <c r="E28" s="22" t="inlineStr">
        <is>
          <t>Inaccurate data causes customers to be refused credit or charged more.</t>
        </is>
      </c>
      <c r="F28" s="22" t="n"/>
      <c r="G28" s="22" t="n"/>
      <c r="H28" s="22">
        <f>IF(OR(F28="",G28=""),"",F28*G28)</f>
        <v/>
      </c>
      <c r="I28" s="22" t="inlineStr">
        <is>
          <t>Data quality checks; prompt dispute handling.</t>
        </is>
      </c>
      <c r="J28" s="22" t="n"/>
      <c r="K28" s="22" t="n"/>
      <c r="L28" s="22" t="n"/>
      <c r="M28" s="22">
        <f>IF(OR(K28="",L28=""),"",K28*L28)</f>
        <v/>
      </c>
      <c r="N28" s="22">
        <f>IF(M28="","",IF(M28&gt;=15,"HIGH",IF(M28&gt;=8,"MEDIUM","LOW")))</f>
        <v/>
      </c>
      <c r="O28" s="22" t="n"/>
      <c r="P28" s="23" t="inlineStr">
        <is>
          <t>[Insert owner]</t>
        </is>
      </c>
      <c r="Q28" s="22" t="n"/>
      <c r="R28" s="22" t="n"/>
      <c r="S28" s="22" t="n"/>
      <c r="T28" s="22" t="n"/>
      <c r="U28" s="22" t="n"/>
    </row>
    <row r="29" ht="60" customHeight="1">
      <c r="A29" s="22" t="inlineStr">
        <is>
          <t>R20</t>
        </is>
      </c>
      <c r="B29" s="22" t="inlineStr">
        <is>
          <t>Technology, cyber and data</t>
        </is>
      </c>
      <c r="C29" s="22" t="inlineStr">
        <is>
          <t>Credit information services and credit references</t>
        </is>
      </c>
      <c r="D29" s="22" t="inlineStr">
        <is>
          <t>Large-scale data breach</t>
        </is>
      </c>
      <c r="E29" s="22" t="inlineStr">
        <is>
          <t>Large volumes of sensitive credit data are exposed.</t>
        </is>
      </c>
      <c r="F29" s="22" t="n"/>
      <c r="G29" s="22" t="n"/>
      <c r="H29" s="22">
        <f>IF(OR(F29="",G29=""),"",F29*G29)</f>
        <v/>
      </c>
      <c r="I29" s="22" t="inlineStr">
        <is>
          <t>Enhanced security; access controls; DPIAs.</t>
        </is>
      </c>
      <c r="J29" s="22" t="n"/>
      <c r="K29" s="22" t="n"/>
      <c r="L29" s="22" t="n"/>
      <c r="M29" s="22">
        <f>IF(OR(K29="",L29=""),"",K29*L29)</f>
        <v/>
      </c>
      <c r="N29" s="22">
        <f>IF(M29="","",IF(M29&gt;=15,"HIGH",IF(M29&gt;=8,"MEDIUM","LOW")))</f>
        <v/>
      </c>
      <c r="O29" s="22" t="n"/>
      <c r="P29" s="23" t="inlineStr">
        <is>
          <t>[Insert owner]</t>
        </is>
      </c>
      <c r="Q29" s="22" t="n"/>
      <c r="R29" s="22" t="n"/>
      <c r="S29" s="22" t="n"/>
      <c r="T29" s="22" t="n"/>
      <c r="U29" s="22" t="n"/>
    </row>
    <row r="30" ht="32" customHeight="1">
      <c r="A30" s="24" t="inlineStr">
        <is>
          <t>OPTION – Peer-to-peer lending platforms firms   [Keep the rows below, down to the next OPTION row, only if your firm operates an electronic system in relation to lending. Otherwise delete them.]</t>
        </is>
      </c>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row>
    <row r="31" ht="60" customHeight="1">
      <c r="A31" s="22" t="inlineStr">
        <is>
          <t>R21</t>
        </is>
      </c>
      <c r="B31" s="22" t="inlineStr">
        <is>
          <t>Conduct and customer harm</t>
        </is>
      </c>
      <c r="C31" s="22" t="inlineStr">
        <is>
          <t>Peer-to-peer lending platforms</t>
        </is>
      </c>
      <c r="D31" s="22" t="inlineStr">
        <is>
          <t>Investors misunderstand risk</t>
        </is>
      </c>
      <c r="E31" s="22" t="inlineStr">
        <is>
          <t>Investors do not understand the risk of loss or illiquidity.</t>
        </is>
      </c>
      <c r="F31" s="22" t="n"/>
      <c r="G31" s="22" t="n"/>
      <c r="H31" s="22">
        <f>IF(OR(F31="",G31=""),"",F31*G31)</f>
        <v/>
      </c>
      <c r="I31" s="22" t="inlineStr">
        <is>
          <t>COBS 4.12A warnings; appropriateness; cooling-off.</t>
        </is>
      </c>
      <c r="J31" s="22" t="n"/>
      <c r="K31" s="22" t="n"/>
      <c r="L31" s="22" t="n"/>
      <c r="M31" s="22">
        <f>IF(OR(K31="",L31=""),"",K31*L31)</f>
        <v/>
      </c>
      <c r="N31" s="22">
        <f>IF(M31="","",IF(M31&gt;=15,"HIGH",IF(M31&gt;=8,"MEDIUM","LOW")))</f>
        <v/>
      </c>
      <c r="O31" s="22" t="n"/>
      <c r="P31" s="23" t="inlineStr">
        <is>
          <t>[Insert owner]</t>
        </is>
      </c>
      <c r="Q31" s="22" t="n"/>
      <c r="R31" s="22" t="n"/>
      <c r="S31" s="22" t="n"/>
      <c r="T31" s="22" t="n"/>
      <c r="U31" s="22" t="n"/>
    </row>
    <row r="32" ht="60" customHeight="1">
      <c r="A32" s="22" t="inlineStr">
        <is>
          <t>R22</t>
        </is>
      </c>
      <c r="B32" s="22" t="inlineStr">
        <is>
          <t>Financial and prudential</t>
        </is>
      </c>
      <c r="C32" s="22" t="inlineStr">
        <is>
          <t>Peer-to-peer lending platforms</t>
        </is>
      </c>
      <c r="D32" s="22" t="inlineStr">
        <is>
          <t>Platform failure</t>
        </is>
      </c>
      <c r="E32" s="22" t="inlineStr">
        <is>
          <t>The platform fails and loans cannot be administered.</t>
        </is>
      </c>
      <c r="F32" s="22" t="n"/>
      <c r="G32" s="22" t="n"/>
      <c r="H32" s="22">
        <f>IF(OR(F32="",G32=""),"",F32*G32)</f>
        <v/>
      </c>
      <c r="I32" s="22" t="inlineStr">
        <is>
          <t>IPRU-INV 12 capital; back-up servicer; wind-down plan.</t>
        </is>
      </c>
      <c r="J32" s="22" t="n"/>
      <c r="K32" s="22" t="n"/>
      <c r="L32" s="22" t="n"/>
      <c r="M32" s="22">
        <f>IF(OR(K32="",L32=""),"",K32*L32)</f>
        <v/>
      </c>
      <c r="N32" s="22">
        <f>IF(M32="","",IF(M32&gt;=15,"HIGH",IF(M32&gt;=8,"MEDIUM","LOW")))</f>
        <v/>
      </c>
      <c r="O32" s="22" t="n"/>
      <c r="P32" s="23" t="inlineStr">
        <is>
          <t>[Insert owner]</t>
        </is>
      </c>
      <c r="Q32" s="22" t="n"/>
      <c r="R32" s="22" t="n"/>
      <c r="S32" s="22" t="n"/>
      <c r="T32" s="22" t="n"/>
      <c r="U32" s="22" t="n"/>
    </row>
    <row r="33" ht="32" customHeight="1">
      <c r="A33" s="24" t="inlineStr">
        <is>
          <t>OPTION – Consumer credit lending firms   [Keep the rows below, down to the next OPTION row, only if your firm enters into regulated credit agreements as lender. Otherwise delete them.]</t>
        </is>
      </c>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row>
    <row r="34" ht="60" customHeight="1">
      <c r="A34" s="22" t="inlineStr">
        <is>
          <t>R23</t>
        </is>
      </c>
      <c r="B34" s="22" t="inlineStr">
        <is>
          <t>Conduct and customer harm</t>
        </is>
      </c>
      <c r="C34" s="22" t="inlineStr">
        <is>
          <t>Consumer credit lending</t>
        </is>
      </c>
      <c r="D34" s="22" t="inlineStr">
        <is>
          <t>Irresponsible lending</t>
        </is>
      </c>
      <c r="E34" s="22" t="inlineStr">
        <is>
          <t>Credit is granted that customers cannot afford (CONC 5).</t>
        </is>
      </c>
      <c r="F34" s="22" t="n"/>
      <c r="G34" s="22" t="n"/>
      <c r="H34" s="22">
        <f>IF(OR(F34="",G34=""),"",F34*G34)</f>
        <v/>
      </c>
      <c r="I34" s="22" t="inlineStr">
        <is>
          <t>Affordability model; underwriting mandates; outcome MI.</t>
        </is>
      </c>
      <c r="J34" s="22" t="n"/>
      <c r="K34" s="22" t="n"/>
      <c r="L34" s="22" t="n"/>
      <c r="M34" s="22">
        <f>IF(OR(K34="",L34=""),"",K34*L34)</f>
        <v/>
      </c>
      <c r="N34" s="22">
        <f>IF(M34="","",IF(M34&gt;=15,"HIGH",IF(M34&gt;=8,"MEDIUM","LOW")))</f>
        <v/>
      </c>
      <c r="O34" s="22" t="n"/>
      <c r="P34" s="23" t="inlineStr">
        <is>
          <t>[Insert owner]</t>
        </is>
      </c>
      <c r="Q34" s="22" t="n"/>
      <c r="R34" s="22" t="n"/>
      <c r="S34" s="22" t="n"/>
      <c r="T34" s="22" t="n"/>
      <c r="U34" s="22" t="n"/>
    </row>
    <row r="35" ht="60" customHeight="1">
      <c r="A35" s="22" t="inlineStr">
        <is>
          <t>R24</t>
        </is>
      </c>
      <c r="B35" s="22" t="inlineStr">
        <is>
          <t>Financial and prudential</t>
        </is>
      </c>
      <c r="C35" s="22" t="inlineStr">
        <is>
          <t>Consumer credit lending</t>
        </is>
      </c>
      <c r="D35" s="22" t="inlineStr">
        <is>
          <t>Credit losses / funding</t>
        </is>
      </c>
      <c r="E35" s="22" t="inlineStr">
        <is>
          <t>Defaults exceed expectations or funding is withdrawn.</t>
        </is>
      </c>
      <c r="F35" s="22" t="n"/>
      <c r="G35" s="22" t="n"/>
      <c r="H35" s="22">
        <f>IF(OR(F35="",G35=""),"",F35*G35)</f>
        <v/>
      </c>
      <c r="I35" s="22" t="inlineStr">
        <is>
          <t>Credit risk appetite; funding diversification; stress testing.</t>
        </is>
      </c>
      <c r="J35" s="22" t="n"/>
      <c r="K35" s="22" t="n"/>
      <c r="L35" s="22" t="n"/>
      <c r="M35" s="22">
        <f>IF(OR(K35="",L35=""),"",K35*L35)</f>
        <v/>
      </c>
      <c r="N35" s="22">
        <f>IF(M35="","",IF(M35&gt;=15,"HIGH",IF(M35&gt;=8,"MEDIUM","LOW")))</f>
        <v/>
      </c>
      <c r="O35" s="22" t="n"/>
      <c r="P35" s="23" t="inlineStr">
        <is>
          <t>[Insert owner]</t>
        </is>
      </c>
      <c r="Q35" s="22" t="n"/>
      <c r="R35" s="22" t="n"/>
      <c r="S35" s="22" t="n"/>
      <c r="T35" s="22" t="n"/>
      <c r="U35" s="22" t="n"/>
    </row>
    <row r="36" ht="32" customHeight="1">
      <c r="A36" s="24" t="inlineStr">
        <is>
          <t>OPTION – Exercising a lender’s rights and duties firms   [Keep the rows below, down to the next OPTION row, only if your firm exercises the lender’s rights and duties under regulated credit agreements. Otherwise delete them.]</t>
        </is>
      </c>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row>
    <row r="37" ht="60" customHeight="1">
      <c r="A37" s="22" t="inlineStr">
        <is>
          <t>R25</t>
        </is>
      </c>
      <c r="B37" s="22" t="inlineStr">
        <is>
          <t>Regulatory and legal</t>
        </is>
      </c>
      <c r="C37" s="22" t="inlineStr">
        <is>
          <t>Exercising a lender’s rights and duties</t>
        </is>
      </c>
      <c r="D37" s="22" t="inlineStr">
        <is>
          <t>Inherited non-compliance</t>
        </is>
      </c>
      <c r="E37" s="22" t="inlineStr">
        <is>
          <t>Acquired agreements have errors that make them unenforceable or require redress.</t>
        </is>
      </c>
      <c r="F37" s="22" t="n"/>
      <c r="G37" s="22" t="n"/>
      <c r="H37" s="22">
        <f>IF(OR(F37="",G37=""),"",F37*G37)</f>
        <v/>
      </c>
      <c r="I37" s="22" t="inlineStr">
        <is>
          <t>Pre-purchase due diligence; data validation.</t>
        </is>
      </c>
      <c r="J37" s="22" t="n"/>
      <c r="K37" s="22" t="n"/>
      <c r="L37" s="22" t="n"/>
      <c r="M37" s="22">
        <f>IF(OR(K37="",L37=""),"",K37*L37)</f>
        <v/>
      </c>
      <c r="N37" s="22">
        <f>IF(M37="","",IF(M37&gt;=15,"HIGH",IF(M37&gt;=8,"MEDIUM","LOW")))</f>
        <v/>
      </c>
      <c r="O37" s="22" t="n"/>
      <c r="P37" s="23" t="inlineStr">
        <is>
          <t>[Insert owner]</t>
        </is>
      </c>
      <c r="Q37" s="22" t="n"/>
      <c r="R37" s="22" t="n"/>
      <c r="S37" s="22" t="n"/>
      <c r="T37" s="22" t="n"/>
      <c r="U37" s="22" t="n"/>
    </row>
    <row r="38" ht="60" customHeight="1">
      <c r="A38" s="22" t="inlineStr">
        <is>
          <t>R26</t>
        </is>
      </c>
      <c r="B38" s="22" t="inlineStr">
        <is>
          <t>Operational</t>
        </is>
      </c>
      <c r="C38" s="22" t="inlineStr">
        <is>
          <t>Exercising a lender’s rights and duties</t>
        </is>
      </c>
      <c r="D38" s="22" t="inlineStr">
        <is>
          <t>Servicer failure</t>
        </is>
      </c>
      <c r="E38" s="22" t="inlineStr">
        <is>
          <t>Third-party servicer fails or treats customers unfairly.</t>
        </is>
      </c>
      <c r="F38" s="22" t="n"/>
      <c r="G38" s="22" t="n"/>
      <c r="H38" s="22">
        <f>IF(OR(F38="",G38=""),"",F38*G38)</f>
        <v/>
      </c>
      <c r="I38" s="22" t="inlineStr">
        <is>
          <t>Oversight MI; contractual rights; back-up arrangements.</t>
        </is>
      </c>
      <c r="J38" s="22" t="n"/>
      <c r="K38" s="22" t="n"/>
      <c r="L38" s="22" t="n"/>
      <c r="M38" s="22">
        <f>IF(OR(K38="",L38=""),"",K38*L38)</f>
        <v/>
      </c>
      <c r="N38" s="22">
        <f>IF(M38="","",IF(M38&gt;=15,"HIGH",IF(M38&gt;=8,"MEDIUM","LOW")))</f>
        <v/>
      </c>
      <c r="O38" s="22" t="n"/>
      <c r="P38" s="23" t="inlineStr">
        <is>
          <t>[Insert owner]</t>
        </is>
      </c>
      <c r="Q38" s="22" t="n"/>
      <c r="R38" s="22" t="n"/>
      <c r="S38" s="22" t="n"/>
      <c r="T38" s="22" t="n"/>
      <c r="U38" s="22" t="n"/>
    </row>
    <row r="39" ht="32" customHeight="1">
      <c r="A39" s="24" t="inlineStr">
        <is>
          <t>OPTION – Consumer hire firms   [Keep the rows below, down to the next OPTION row, only if your firm hires out goods under regulated consumer hire agreements. Otherwise delete them.]</t>
        </is>
      </c>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row>
    <row r="40" ht="60" customHeight="1">
      <c r="A40" s="22" t="inlineStr">
        <is>
          <t>R27</t>
        </is>
      </c>
      <c r="B40" s="22" t="inlineStr">
        <is>
          <t>Conduct and customer harm</t>
        </is>
      </c>
      <c r="C40" s="22" t="inlineStr">
        <is>
          <t>Consumer hire</t>
        </is>
      </c>
      <c r="D40" s="22" t="inlineStr">
        <is>
          <t>Unfair end-of-hire charges</t>
        </is>
      </c>
      <c r="E40" s="22" t="inlineStr">
        <is>
          <t>Charges are unclear, unevidenced or disproportionate.</t>
        </is>
      </c>
      <c r="F40" s="22" t="n"/>
      <c r="G40" s="22" t="n"/>
      <c r="H40" s="22">
        <f>IF(OR(F40="",G40=""),"",F40*G40)</f>
        <v/>
      </c>
      <c r="I40" s="22" t="inlineStr">
        <is>
          <t>Clear pre-contract information; evidence-based charging; review.</t>
        </is>
      </c>
      <c r="J40" s="22" t="n"/>
      <c r="K40" s="22" t="n"/>
      <c r="L40" s="22" t="n"/>
      <c r="M40" s="22">
        <f>IF(OR(K40="",L40=""),"",K40*L40)</f>
        <v/>
      </c>
      <c r="N40" s="22">
        <f>IF(M40="","",IF(M40&gt;=15,"HIGH",IF(M40&gt;=8,"MEDIUM","LOW")))</f>
        <v/>
      </c>
      <c r="O40" s="22" t="n"/>
      <c r="P40" s="23" t="inlineStr">
        <is>
          <t>[Insert owner]</t>
        </is>
      </c>
      <c r="Q40" s="22" t="n"/>
      <c r="R40" s="22" t="n"/>
      <c r="S40" s="22" t="n"/>
      <c r="T40" s="22" t="n"/>
      <c r="U40" s="22" t="n"/>
    </row>
    <row r="41" ht="60" customHeight="1">
      <c r="A41" s="22" t="inlineStr">
        <is>
          <t>R28</t>
        </is>
      </c>
      <c r="B41" s="22" t="inlineStr">
        <is>
          <t>Financial and prudential</t>
        </is>
      </c>
      <c r="C41" s="22" t="inlineStr">
        <is>
          <t>Consumer hire</t>
        </is>
      </c>
      <c r="D41" s="22" t="inlineStr">
        <is>
          <t>Residual value risk</t>
        </is>
      </c>
      <c r="E41" s="22" t="inlineStr">
        <is>
          <t>Returned goods are worth less than expected.</t>
        </is>
      </c>
      <c r="F41" s="22" t="n"/>
      <c r="G41" s="22" t="n"/>
      <c r="H41" s="22">
        <f>IF(OR(F41="",G41=""),"",F41*G41)</f>
        <v/>
      </c>
      <c r="I41" s="22" t="inlineStr">
        <is>
          <t>Residual value assumptions reviewed; provisioning.</t>
        </is>
      </c>
      <c r="J41" s="22" t="n"/>
      <c r="K41" s="22" t="n"/>
      <c r="L41" s="22" t="n"/>
      <c r="M41" s="22">
        <f>IF(OR(K41="",L41=""),"",K41*L41)</f>
        <v/>
      </c>
      <c r="N41" s="22">
        <f>IF(M41="","",IF(M41&gt;=15,"HIGH",IF(M41&gt;=8,"MEDIUM","LOW")))</f>
        <v/>
      </c>
      <c r="O41" s="22" t="n"/>
      <c r="P41" s="23" t="inlineStr">
        <is>
          <t>[Insert owner]</t>
        </is>
      </c>
      <c r="Q41" s="22" t="n"/>
      <c r="R41" s="22" t="n"/>
      <c r="S41" s="22" t="n"/>
      <c r="T41" s="22" t="n"/>
      <c r="U41" s="22" t="n"/>
    </row>
    <row r="42" ht="32" customHeight="1">
      <c r="A42" s="24" t="inlineStr">
        <is>
          <t>OPTION – Insurance distribution firms   [Keep the rows below, down to the next OPTION row, only if your firm carries on insurance distribution. Otherwise delete them.]</t>
        </is>
      </c>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row>
    <row r="43" ht="60" customHeight="1">
      <c r="A43" s="22" t="inlineStr">
        <is>
          <t>R29</t>
        </is>
      </c>
      <c r="B43" s="22" t="inlineStr">
        <is>
          <t>Conduct and customer harm</t>
        </is>
      </c>
      <c r="C43" s="22" t="inlineStr">
        <is>
          <t>Insurance distribution</t>
        </is>
      </c>
      <c r="D43" s="22" t="inlineStr">
        <is>
          <t>Poor value products / add-ons</t>
        </is>
      </c>
      <c r="E43" s="22" t="inlineStr">
        <is>
          <t>Customers buy products that offer poor value (PROD 4).</t>
        </is>
      </c>
      <c r="F43" s="22" t="n"/>
      <c r="G43" s="22" t="n"/>
      <c r="H43" s="22">
        <f>IF(OR(F43="",G43=""),"",F43*G43)</f>
        <v/>
      </c>
      <c r="I43" s="22" t="inlineStr">
        <is>
          <t>Manufacturer fair value information; remuneration review.</t>
        </is>
      </c>
      <c r="J43" s="22" t="n"/>
      <c r="K43" s="22" t="n"/>
      <c r="L43" s="22" t="n"/>
      <c r="M43" s="22">
        <f>IF(OR(K43="",L43=""),"",K43*L43)</f>
        <v/>
      </c>
      <c r="N43" s="22">
        <f>IF(M43="","",IF(M43&gt;=15,"HIGH",IF(M43&gt;=8,"MEDIUM","LOW")))</f>
        <v/>
      </c>
      <c r="O43" s="22" t="n"/>
      <c r="P43" s="23" t="inlineStr">
        <is>
          <t>[Insert owner]</t>
        </is>
      </c>
      <c r="Q43" s="22" t="n"/>
      <c r="R43" s="22" t="n"/>
      <c r="S43" s="22" t="n"/>
      <c r="T43" s="22" t="n"/>
      <c r="U43" s="22" t="n"/>
    </row>
    <row r="44" ht="60" customHeight="1">
      <c r="A44" s="22" t="inlineStr">
        <is>
          <t>R30</t>
        </is>
      </c>
      <c r="B44" s="22" t="inlineStr">
        <is>
          <t>Financial and prudential</t>
        </is>
      </c>
      <c r="C44" s="22" t="inlineStr">
        <is>
          <t>Insurance distribution</t>
        </is>
      </c>
      <c r="D44" s="22" t="inlineStr">
        <is>
          <t>PII / capital shortfall</t>
        </is>
      </c>
      <c r="E44" s="22" t="inlineStr">
        <is>
          <t>Professional indemnity insurance or capital falls below MIPRU requirements.</t>
        </is>
      </c>
      <c r="F44" s="22" t="n"/>
      <c r="G44" s="22" t="n"/>
      <c r="H44" s="22">
        <f>IF(OR(F44="",G44=""),"",F44*G44)</f>
        <v/>
      </c>
      <c r="I44" s="22" t="inlineStr">
        <is>
          <t>Annual PII review; capital monitoring.</t>
        </is>
      </c>
      <c r="J44" s="22" t="n"/>
      <c r="K44" s="22" t="n"/>
      <c r="L44" s="22" t="n"/>
      <c r="M44" s="22">
        <f>IF(OR(K44="",L44=""),"",K44*L44)</f>
        <v/>
      </c>
      <c r="N44" s="22">
        <f>IF(M44="","",IF(M44&gt;=15,"HIGH",IF(M44&gt;=8,"MEDIUM","LOW")))</f>
        <v/>
      </c>
      <c r="O44" s="22" t="n"/>
      <c r="P44" s="23" t="inlineStr">
        <is>
          <t>[Insert owner]</t>
        </is>
      </c>
      <c r="Q44" s="22" t="n"/>
      <c r="R44" s="22" t="n"/>
      <c r="S44" s="22" t="n"/>
      <c r="T44" s="22" t="n"/>
      <c r="U44" s="22" t="n"/>
    </row>
    <row r="45" ht="32" customHeight="1">
      <c r="A45" s="24" t="inlineStr">
        <is>
          <t>OPTION – Mortgage intermediation firms   [Keep the rows below, down to the next OPTION row, only if your firm advises on and/or arranges regulated mortgage contracts. Otherwise delete them.]</t>
        </is>
      </c>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row>
    <row r="46" ht="60" customHeight="1">
      <c r="A46" s="22" t="inlineStr">
        <is>
          <t>R31</t>
        </is>
      </c>
      <c r="B46" s="22" t="inlineStr">
        <is>
          <t>Conduct and customer harm</t>
        </is>
      </c>
      <c r="C46" s="22" t="inlineStr">
        <is>
          <t>Mortgage intermediation</t>
        </is>
      </c>
      <c r="D46" s="22" t="inlineStr">
        <is>
          <t>Unsuitable mortgage advice</t>
        </is>
      </c>
      <c r="E46" s="22" t="inlineStr">
        <is>
          <t>Advice is unsuitable, including debt consolidation or long terms (MCOB 4).</t>
        </is>
      </c>
      <c r="F46" s="22" t="n"/>
      <c r="G46" s="22" t="n"/>
      <c r="H46" s="22">
        <f>IF(OR(F46="",G46=""),"",F46*G46)</f>
        <v/>
      </c>
      <c r="I46" s="22" t="inlineStr">
        <is>
          <t>File reviews; qualified advisers; supervision.</t>
        </is>
      </c>
      <c r="J46" s="22" t="n"/>
      <c r="K46" s="22" t="n"/>
      <c r="L46" s="22" t="n"/>
      <c r="M46" s="22">
        <f>IF(OR(K46="",L46=""),"",K46*L46)</f>
        <v/>
      </c>
      <c r="N46" s="22">
        <f>IF(M46="","",IF(M46&gt;=15,"HIGH",IF(M46&gt;=8,"MEDIUM","LOW")))</f>
        <v/>
      </c>
      <c r="O46" s="22" t="n"/>
      <c r="P46" s="23" t="inlineStr">
        <is>
          <t>[Insert owner]</t>
        </is>
      </c>
      <c r="Q46" s="22" t="n"/>
      <c r="R46" s="22" t="n"/>
      <c r="S46" s="22" t="n"/>
      <c r="T46" s="22" t="n"/>
      <c r="U46" s="22" t="n"/>
    </row>
    <row r="47" ht="60" customHeight="1">
      <c r="A47" s="22" t="inlineStr">
        <is>
          <t>R32</t>
        </is>
      </c>
      <c r="B47" s="22" t="inlineStr">
        <is>
          <t>Financial crime</t>
        </is>
      </c>
      <c r="C47" s="22" t="inlineStr">
        <is>
          <t>Mortgage intermediation</t>
        </is>
      </c>
      <c r="D47" s="22" t="inlineStr">
        <is>
          <t>Mortgage fraud</t>
        </is>
      </c>
      <c r="E47" s="22" t="inlineStr">
        <is>
          <t>False income or deposit information is submitted to lenders.</t>
        </is>
      </c>
      <c r="F47" s="22" t="n"/>
      <c r="G47" s="22" t="n"/>
      <c r="H47" s="22">
        <f>IF(OR(F47="",G47=""),"",F47*G47)</f>
        <v/>
      </c>
      <c r="I47" s="22" t="inlineStr">
        <is>
          <t>Evidence checks; staff training; reporting.</t>
        </is>
      </c>
      <c r="J47" s="22" t="n"/>
      <c r="K47" s="22" t="n"/>
      <c r="L47" s="22" t="n"/>
      <c r="M47" s="22">
        <f>IF(OR(K47="",L47=""),"",K47*L47)</f>
        <v/>
      </c>
      <c r="N47" s="22">
        <f>IF(M47="","",IF(M47&gt;=15,"HIGH",IF(M47&gt;=8,"MEDIUM","LOW")))</f>
        <v/>
      </c>
      <c r="O47" s="22" t="n"/>
      <c r="P47" s="23" t="inlineStr">
        <is>
          <t>[Insert owner]</t>
        </is>
      </c>
      <c r="Q47" s="22" t="n"/>
      <c r="R47" s="22" t="n"/>
      <c r="S47" s="22" t="n"/>
      <c r="T47" s="22" t="n"/>
      <c r="U47" s="22" t="n"/>
    </row>
    <row r="48" ht="32" customHeight="1">
      <c r="A48" s="24" t="inlineStr">
        <is>
          <t>OPTION – Payment services and e-money firms   [Keep the rows below, down to the next OPTION row, only if your firm provides payment services or issues electronic money. Otherwise delete them.]</t>
        </is>
      </c>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row>
    <row r="49" ht="60" customHeight="1">
      <c r="A49" s="22" t="inlineStr">
        <is>
          <t>R33</t>
        </is>
      </c>
      <c r="B49" s="22" t="inlineStr">
        <is>
          <t>Financial and prudential</t>
        </is>
      </c>
      <c r="C49" s="22" t="inlineStr">
        <is>
          <t>Payment services and e-money</t>
        </is>
      </c>
      <c r="D49" s="22" t="inlineStr">
        <is>
          <t>Safeguarding failure</t>
        </is>
      </c>
      <c r="E49" s="22" t="inlineStr">
        <is>
          <t>Relevant funds are not segregated or reconciled (CASS 15).</t>
        </is>
      </c>
      <c r="F49" s="22" t="n"/>
      <c r="G49" s="22" t="n"/>
      <c r="H49" s="22">
        <f>IF(OR(F49="",G49=""),"",F49*G49)</f>
        <v/>
      </c>
      <c r="I49" s="22" t="inlineStr">
        <is>
          <t>Daily reconciliations; resolution pack; audit.</t>
        </is>
      </c>
      <c r="J49" s="22" t="n"/>
      <c r="K49" s="22" t="n"/>
      <c r="L49" s="22" t="n"/>
      <c r="M49" s="22">
        <f>IF(OR(K49="",L49=""),"",K49*L49)</f>
        <v/>
      </c>
      <c r="N49" s="22">
        <f>IF(M49="","",IF(M49&gt;=15,"HIGH",IF(M49&gt;=8,"MEDIUM","LOW")))</f>
        <v/>
      </c>
      <c r="O49" s="22" t="n"/>
      <c r="P49" s="23" t="inlineStr">
        <is>
          <t>[Insert owner]</t>
        </is>
      </c>
      <c r="Q49" s="22" t="n"/>
      <c r="R49" s="22" t="n"/>
      <c r="S49" s="22" t="n"/>
      <c r="T49" s="22" t="n"/>
      <c r="U49" s="22" t="n"/>
    </row>
    <row r="50" ht="60" customHeight="1">
      <c r="A50" s="22" t="inlineStr">
        <is>
          <t>R34</t>
        </is>
      </c>
      <c r="B50" s="22" t="inlineStr">
        <is>
          <t>Technology, cyber and data</t>
        </is>
      </c>
      <c r="C50" s="22" t="inlineStr">
        <is>
          <t>Payment services and e-money</t>
        </is>
      </c>
      <c r="D50" s="22" t="inlineStr">
        <is>
          <t>Major operational or security incident</t>
        </is>
      </c>
      <c r="E50" s="22" t="inlineStr">
        <is>
          <t>Payment services are disrupted or compromised.</t>
        </is>
      </c>
      <c r="F50" s="22" t="n"/>
      <c r="G50" s="22" t="n"/>
      <c r="H50" s="22">
        <f>IF(OR(F50="",G50=""),"",F50*G50)</f>
        <v/>
      </c>
      <c r="I50" s="22" t="inlineStr">
        <is>
          <t>Security risk assessment; incident reporting; impact tolerances.</t>
        </is>
      </c>
      <c r="J50" s="22" t="n"/>
      <c r="K50" s="22" t="n"/>
      <c r="L50" s="22" t="n"/>
      <c r="M50" s="22">
        <f>IF(OR(K50="",L50=""),"",K50*L50)</f>
        <v/>
      </c>
      <c r="N50" s="22">
        <f>IF(M50="","",IF(M50&gt;=15,"HIGH",IF(M50&gt;=8,"MEDIUM","LOW")))</f>
        <v/>
      </c>
      <c r="O50" s="22" t="n"/>
      <c r="P50" s="23" t="inlineStr">
        <is>
          <t>[Insert owner]</t>
        </is>
      </c>
      <c r="Q50" s="22" t="n"/>
      <c r="R50" s="22" t="n"/>
      <c r="S50" s="22" t="n"/>
      <c r="T50" s="22" t="n"/>
      <c r="U50" s="22" t="n"/>
    </row>
    <row r="51" ht="32" customHeight="1">
      <c r="A51" s="24" t="inlineStr">
        <is>
          <t>OPTION – Investment advice and arranging firms   [Keep the rows below, down to the next OPTION row, only if your firm advises on and/or arranges deals in investments. Otherwise delete them.]</t>
        </is>
      </c>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row>
    <row r="52" ht="60" customHeight="1">
      <c r="A52" s="22" t="inlineStr">
        <is>
          <t>R35</t>
        </is>
      </c>
      <c r="B52" s="22" t="inlineStr">
        <is>
          <t>Conduct and customer harm</t>
        </is>
      </c>
      <c r="C52" s="22" t="inlineStr">
        <is>
          <t>Investment advice and arranging</t>
        </is>
      </c>
      <c r="D52" s="22" t="inlineStr">
        <is>
          <t>Unsuitable advice</t>
        </is>
      </c>
      <c r="E52" s="22" t="inlineStr">
        <is>
          <t>Advice is unsuitable for clients’ needs or capacity for loss (COBS 9 / 9A).</t>
        </is>
      </c>
      <c r="F52" s="22" t="n"/>
      <c r="G52" s="22" t="n"/>
      <c r="H52" s="22">
        <f>IF(OR(F52="",G52=""),"",F52*G52)</f>
        <v/>
      </c>
      <c r="I52" s="22" t="inlineStr">
        <is>
          <t>Suitability reviews; file checks; CPD.</t>
        </is>
      </c>
      <c r="J52" s="22" t="n"/>
      <c r="K52" s="22" t="n"/>
      <c r="L52" s="22" t="n"/>
      <c r="M52" s="22">
        <f>IF(OR(K52="",L52=""),"",K52*L52)</f>
        <v/>
      </c>
      <c r="N52" s="22">
        <f>IF(M52="","",IF(M52&gt;=15,"HIGH",IF(M52&gt;=8,"MEDIUM","LOW")))</f>
        <v/>
      </c>
      <c r="O52" s="22" t="n"/>
      <c r="P52" s="23" t="inlineStr">
        <is>
          <t>[Insert owner]</t>
        </is>
      </c>
      <c r="Q52" s="22" t="n"/>
      <c r="R52" s="22" t="n"/>
      <c r="S52" s="22" t="n"/>
      <c r="T52" s="22" t="n"/>
      <c r="U52" s="22" t="n"/>
    </row>
    <row r="53" ht="60" customHeight="1">
      <c r="A53" s="22" t="inlineStr">
        <is>
          <t>R36</t>
        </is>
      </c>
      <c r="B53" s="22" t="inlineStr">
        <is>
          <t>Conduct and customer harm</t>
        </is>
      </c>
      <c r="C53" s="22" t="inlineStr">
        <is>
          <t>Investment advice and arranging</t>
        </is>
      </c>
      <c r="D53" s="22" t="inlineStr">
        <is>
          <t>Ongoing service not delivered</t>
        </is>
      </c>
      <c r="E53" s="22" t="inlineStr">
        <is>
          <t>Clients pay for ongoing advice they do not receive.</t>
        </is>
      </c>
      <c r="F53" s="22" t="n"/>
      <c r="G53" s="22" t="n"/>
      <c r="H53" s="22">
        <f>IF(OR(F53="",G53=""),"",F53*G53)</f>
        <v/>
      </c>
      <c r="I53" s="22" t="inlineStr">
        <is>
          <t>Service tracking; annual review evidence.</t>
        </is>
      </c>
      <c r="J53" s="22" t="n"/>
      <c r="K53" s="22" t="n"/>
      <c r="L53" s="22" t="n"/>
      <c r="M53" s="22">
        <f>IF(OR(K53="",L53=""),"",K53*L53)</f>
        <v/>
      </c>
      <c r="N53" s="22">
        <f>IF(M53="","",IF(M53&gt;=15,"HIGH",IF(M53&gt;=8,"MEDIUM","LOW")))</f>
        <v/>
      </c>
      <c r="O53" s="22" t="n"/>
      <c r="P53" s="23" t="inlineStr">
        <is>
          <t>[Insert owner]</t>
        </is>
      </c>
      <c r="Q53" s="22" t="n"/>
      <c r="R53" s="22" t="n"/>
      <c r="S53" s="22" t="n"/>
      <c r="T53" s="22" t="n"/>
      <c r="U53" s="22" t="n"/>
    </row>
    <row r="54" ht="30" customHeight="1">
      <c r="A54" s="22" t="inlineStr">
        <is>
          <t>R37</t>
        </is>
      </c>
      <c r="B54" s="22" t="n"/>
      <c r="C54" s="22" t="n"/>
      <c r="D54" s="22" t="n"/>
      <c r="E54" s="22" t="n"/>
      <c r="F54" s="22" t="n"/>
      <c r="G54" s="22" t="n"/>
      <c r="H54" s="22">
        <f>IF(OR(F54="",G54=""),"",F54*G54)</f>
        <v/>
      </c>
      <c r="I54" s="22" t="n"/>
      <c r="J54" s="22" t="n"/>
      <c r="K54" s="22" t="n"/>
      <c r="L54" s="22" t="n"/>
      <c r="M54" s="22">
        <f>IF(OR(K54="",L54=""),"",K54*L54)</f>
        <v/>
      </c>
      <c r="N54" s="22">
        <f>IF(M54="","",IF(M54&gt;=15,"HIGH",IF(M54&gt;=8,"MEDIUM","LOW")))</f>
        <v/>
      </c>
      <c r="O54" s="22" t="n"/>
      <c r="P54" s="22" t="n"/>
      <c r="Q54" s="22" t="n"/>
      <c r="R54" s="22" t="n"/>
      <c r="S54" s="22" t="n"/>
      <c r="T54" s="22" t="n"/>
      <c r="U54" s="22" t="n"/>
    </row>
    <row r="55" ht="30" customHeight="1">
      <c r="A55" s="22" t="inlineStr">
        <is>
          <t>R38</t>
        </is>
      </c>
      <c r="B55" s="22" t="n"/>
      <c r="C55" s="22" t="n"/>
      <c r="D55" s="22" t="n"/>
      <c r="E55" s="22" t="n"/>
      <c r="F55" s="22" t="n"/>
      <c r="G55" s="22" t="n"/>
      <c r="H55" s="22">
        <f>IF(OR(F55="",G55=""),"",F55*G55)</f>
        <v/>
      </c>
      <c r="I55" s="22" t="n"/>
      <c r="J55" s="22" t="n"/>
      <c r="K55" s="22" t="n"/>
      <c r="L55" s="22" t="n"/>
      <c r="M55" s="22">
        <f>IF(OR(K55="",L55=""),"",K55*L55)</f>
        <v/>
      </c>
      <c r="N55" s="22">
        <f>IF(M55="","",IF(M55&gt;=15,"HIGH",IF(M55&gt;=8,"MEDIUM","LOW")))</f>
        <v/>
      </c>
      <c r="O55" s="22" t="n"/>
      <c r="P55" s="22" t="n"/>
      <c r="Q55" s="22" t="n"/>
      <c r="R55" s="22" t="n"/>
      <c r="S55" s="22" t="n"/>
      <c r="T55" s="22" t="n"/>
      <c r="U55" s="22" t="n"/>
    </row>
    <row r="56" ht="30" customHeight="1">
      <c r="A56" s="22" t="inlineStr">
        <is>
          <t>R39</t>
        </is>
      </c>
      <c r="B56" s="22" t="n"/>
      <c r="C56" s="22" t="n"/>
      <c r="D56" s="22" t="n"/>
      <c r="E56" s="22" t="n"/>
      <c r="F56" s="22" t="n"/>
      <c r="G56" s="22" t="n"/>
      <c r="H56" s="22">
        <f>IF(OR(F56="",G56=""),"",F56*G56)</f>
        <v/>
      </c>
      <c r="I56" s="22" t="n"/>
      <c r="J56" s="22" t="n"/>
      <c r="K56" s="22" t="n"/>
      <c r="L56" s="22" t="n"/>
      <c r="M56" s="22">
        <f>IF(OR(K56="",L56=""),"",K56*L56)</f>
        <v/>
      </c>
      <c r="N56" s="22">
        <f>IF(M56="","",IF(M56&gt;=15,"HIGH",IF(M56&gt;=8,"MEDIUM","LOW")))</f>
        <v/>
      </c>
      <c r="O56" s="22" t="n"/>
      <c r="P56" s="22" t="n"/>
      <c r="Q56" s="22" t="n"/>
      <c r="R56" s="22" t="n"/>
      <c r="S56" s="22" t="n"/>
      <c r="T56" s="22" t="n"/>
      <c r="U56" s="22" t="n"/>
    </row>
    <row r="57" ht="30" customHeight="1">
      <c r="A57" s="22" t="inlineStr">
        <is>
          <t>R40</t>
        </is>
      </c>
      <c r="B57" s="22" t="n"/>
      <c r="C57" s="22" t="n"/>
      <c r="D57" s="22" t="n"/>
      <c r="E57" s="22" t="n"/>
      <c r="F57" s="22" t="n"/>
      <c r="G57" s="22" t="n"/>
      <c r="H57" s="22">
        <f>IF(OR(F57="",G57=""),"",F57*G57)</f>
        <v/>
      </c>
      <c r="I57" s="22" t="n"/>
      <c r="J57" s="22" t="n"/>
      <c r="K57" s="22" t="n"/>
      <c r="L57" s="22" t="n"/>
      <c r="M57" s="22">
        <f>IF(OR(K57="",L57=""),"",K57*L57)</f>
        <v/>
      </c>
      <c r="N57" s="22">
        <f>IF(M57="","",IF(M57&gt;=15,"HIGH",IF(M57&gt;=8,"MEDIUM","LOW")))</f>
        <v/>
      </c>
      <c r="O57" s="22" t="n"/>
      <c r="P57" s="22" t="n"/>
      <c r="Q57" s="22" t="n"/>
      <c r="R57" s="22" t="n"/>
      <c r="S57" s="22" t="n"/>
      <c r="T57" s="22" t="n"/>
      <c r="U57" s="22" t="n"/>
    </row>
    <row r="58" ht="30" customHeight="1">
      <c r="A58" s="22" t="inlineStr">
        <is>
          <t>R41</t>
        </is>
      </c>
      <c r="B58" s="22" t="n"/>
      <c r="C58" s="22" t="n"/>
      <c r="D58" s="22" t="n"/>
      <c r="E58" s="22" t="n"/>
      <c r="F58" s="22" t="n"/>
      <c r="G58" s="22" t="n"/>
      <c r="H58" s="22">
        <f>IF(OR(F58="",G58=""),"",F58*G58)</f>
        <v/>
      </c>
      <c r="I58" s="22" t="n"/>
      <c r="J58" s="22" t="n"/>
      <c r="K58" s="22" t="n"/>
      <c r="L58" s="22" t="n"/>
      <c r="M58" s="22">
        <f>IF(OR(K58="",L58=""),"",K58*L58)</f>
        <v/>
      </c>
      <c r="N58" s="22">
        <f>IF(M58="","",IF(M58&gt;=15,"HIGH",IF(M58&gt;=8,"MEDIUM","LOW")))</f>
        <v/>
      </c>
      <c r="O58" s="22" t="n"/>
      <c r="P58" s="22" t="n"/>
      <c r="Q58" s="22" t="n"/>
      <c r="R58" s="22" t="n"/>
      <c r="S58" s="22" t="n"/>
      <c r="T58" s="22" t="n"/>
      <c r="U58" s="22" t="n"/>
    </row>
    <row r="59" ht="30" customHeight="1">
      <c r="A59" s="22" t="inlineStr">
        <is>
          <t>R42</t>
        </is>
      </c>
      <c r="B59" s="22" t="n"/>
      <c r="C59" s="22" t="n"/>
      <c r="D59" s="22" t="n"/>
      <c r="E59" s="22" t="n"/>
      <c r="F59" s="22" t="n"/>
      <c r="G59" s="22" t="n"/>
      <c r="H59" s="22">
        <f>IF(OR(F59="",G59=""),"",F59*G59)</f>
        <v/>
      </c>
      <c r="I59" s="22" t="n"/>
      <c r="J59" s="22" t="n"/>
      <c r="K59" s="22" t="n"/>
      <c r="L59" s="22" t="n"/>
      <c r="M59" s="22">
        <f>IF(OR(K59="",L59=""),"",K59*L59)</f>
        <v/>
      </c>
      <c r="N59" s="22">
        <f>IF(M59="","",IF(M59&gt;=15,"HIGH",IF(M59&gt;=8,"MEDIUM","LOW")))</f>
        <v/>
      </c>
      <c r="O59" s="22" t="n"/>
      <c r="P59" s="22" t="n"/>
      <c r="Q59" s="22" t="n"/>
      <c r="R59" s="22" t="n"/>
      <c r="S59" s="22" t="n"/>
      <c r="T59" s="22" t="n"/>
      <c r="U59" s="22" t="n"/>
    </row>
    <row r="60" ht="30" customHeight="1">
      <c r="A60" s="22" t="inlineStr">
        <is>
          <t>R43</t>
        </is>
      </c>
      <c r="B60" s="22" t="n"/>
      <c r="C60" s="22" t="n"/>
      <c r="D60" s="22" t="n"/>
      <c r="E60" s="22" t="n"/>
      <c r="F60" s="22" t="n"/>
      <c r="G60" s="22" t="n"/>
      <c r="H60" s="22">
        <f>IF(OR(F60="",G60=""),"",F60*G60)</f>
        <v/>
      </c>
      <c r="I60" s="22" t="n"/>
      <c r="J60" s="22" t="n"/>
      <c r="K60" s="22" t="n"/>
      <c r="L60" s="22" t="n"/>
      <c r="M60" s="22">
        <f>IF(OR(K60="",L60=""),"",K60*L60)</f>
        <v/>
      </c>
      <c r="N60" s="22">
        <f>IF(M60="","",IF(M60&gt;=15,"HIGH",IF(M60&gt;=8,"MEDIUM","LOW")))</f>
        <v/>
      </c>
      <c r="O60" s="22" t="n"/>
      <c r="P60" s="22" t="n"/>
      <c r="Q60" s="22" t="n"/>
      <c r="R60" s="22" t="n"/>
      <c r="S60" s="22" t="n"/>
      <c r="T60" s="22" t="n"/>
      <c r="U60" s="22" t="n"/>
    </row>
    <row r="61" ht="30" customHeight="1">
      <c r="A61" s="22" t="inlineStr">
        <is>
          <t>R44</t>
        </is>
      </c>
      <c r="B61" s="22" t="n"/>
      <c r="C61" s="22" t="n"/>
      <c r="D61" s="22" t="n"/>
      <c r="E61" s="22" t="n"/>
      <c r="F61" s="22" t="n"/>
      <c r="G61" s="22" t="n"/>
      <c r="H61" s="22">
        <f>IF(OR(F61="",G61=""),"",F61*G61)</f>
        <v/>
      </c>
      <c r="I61" s="22" t="n"/>
      <c r="J61" s="22" t="n"/>
      <c r="K61" s="22" t="n"/>
      <c r="L61" s="22" t="n"/>
      <c r="M61" s="22">
        <f>IF(OR(K61="",L61=""),"",K61*L61)</f>
        <v/>
      </c>
      <c r="N61" s="22">
        <f>IF(M61="","",IF(M61&gt;=15,"HIGH",IF(M61&gt;=8,"MEDIUM","LOW")))</f>
        <v/>
      </c>
      <c r="O61" s="22" t="n"/>
      <c r="P61" s="22" t="n"/>
      <c r="Q61" s="22" t="n"/>
      <c r="R61" s="22" t="n"/>
      <c r="S61" s="22" t="n"/>
      <c r="T61" s="22" t="n"/>
      <c r="U61" s="22" t="n"/>
    </row>
    <row r="62" ht="30" customHeight="1">
      <c r="A62" s="22" t="inlineStr">
        <is>
          <t>R45</t>
        </is>
      </c>
      <c r="B62" s="22" t="n"/>
      <c r="C62" s="22" t="n"/>
      <c r="D62" s="22" t="n"/>
      <c r="E62" s="22" t="n"/>
      <c r="F62" s="22" t="n"/>
      <c r="G62" s="22" t="n"/>
      <c r="H62" s="22">
        <f>IF(OR(F62="",G62=""),"",F62*G62)</f>
        <v/>
      </c>
      <c r="I62" s="22" t="n"/>
      <c r="J62" s="22" t="n"/>
      <c r="K62" s="22" t="n"/>
      <c r="L62" s="22" t="n"/>
      <c r="M62" s="22">
        <f>IF(OR(K62="",L62=""),"",K62*L62)</f>
        <v/>
      </c>
      <c r="N62" s="22">
        <f>IF(M62="","",IF(M62&gt;=15,"HIGH",IF(M62&gt;=8,"MEDIUM","LOW")))</f>
        <v/>
      </c>
      <c r="O62" s="22" t="n"/>
      <c r="P62" s="22" t="n"/>
      <c r="Q62" s="22" t="n"/>
      <c r="R62" s="22" t="n"/>
      <c r="S62" s="22" t="n"/>
      <c r="T62" s="22" t="n"/>
      <c r="U62" s="22" t="n"/>
    </row>
    <row r="63" ht="30" customHeight="1">
      <c r="A63" s="22" t="inlineStr">
        <is>
          <t>R46</t>
        </is>
      </c>
      <c r="B63" s="22" t="n"/>
      <c r="C63" s="22" t="n"/>
      <c r="D63" s="22" t="n"/>
      <c r="E63" s="22" t="n"/>
      <c r="F63" s="22" t="n"/>
      <c r="G63" s="22" t="n"/>
      <c r="H63" s="22">
        <f>IF(OR(F63="",G63=""),"",F63*G63)</f>
        <v/>
      </c>
      <c r="I63" s="22" t="n"/>
      <c r="J63" s="22" t="n"/>
      <c r="K63" s="22" t="n"/>
      <c r="L63" s="22" t="n"/>
      <c r="M63" s="22">
        <f>IF(OR(K63="",L63=""),"",K63*L63)</f>
        <v/>
      </c>
      <c r="N63" s="22">
        <f>IF(M63="","",IF(M63&gt;=15,"HIGH",IF(M63&gt;=8,"MEDIUM","LOW")))</f>
        <v/>
      </c>
      <c r="O63" s="22" t="n"/>
      <c r="P63" s="22" t="n"/>
      <c r="Q63" s="22" t="n"/>
      <c r="R63" s="22" t="n"/>
      <c r="S63" s="22" t="n"/>
      <c r="T63" s="22" t="n"/>
      <c r="U63" s="22" t="n"/>
    </row>
    <row r="64" ht="30" customHeight="1">
      <c r="A64" s="22" t="inlineStr">
        <is>
          <t>R47</t>
        </is>
      </c>
      <c r="B64" s="22" t="n"/>
      <c r="C64" s="22" t="n"/>
      <c r="D64" s="22" t="n"/>
      <c r="E64" s="22" t="n"/>
      <c r="F64" s="22" t="n"/>
      <c r="G64" s="22" t="n"/>
      <c r="H64" s="22">
        <f>IF(OR(F64="",G64=""),"",F64*G64)</f>
        <v/>
      </c>
      <c r="I64" s="22" t="n"/>
      <c r="J64" s="22" t="n"/>
      <c r="K64" s="22" t="n"/>
      <c r="L64" s="22" t="n"/>
      <c r="M64" s="22">
        <f>IF(OR(K64="",L64=""),"",K64*L64)</f>
        <v/>
      </c>
      <c r="N64" s="22">
        <f>IF(M64="","",IF(M64&gt;=15,"HIGH",IF(M64&gt;=8,"MEDIUM","LOW")))</f>
        <v/>
      </c>
      <c r="O64" s="22" t="n"/>
      <c r="P64" s="22" t="n"/>
      <c r="Q64" s="22" t="n"/>
      <c r="R64" s="22" t="n"/>
      <c r="S64" s="22" t="n"/>
      <c r="T64" s="22" t="n"/>
      <c r="U64" s="22" t="n"/>
    </row>
    <row r="65" ht="30" customHeight="1">
      <c r="A65" s="22" t="inlineStr">
        <is>
          <t>R48</t>
        </is>
      </c>
      <c r="B65" s="22" t="n"/>
      <c r="C65" s="22" t="n"/>
      <c r="D65" s="22" t="n"/>
      <c r="E65" s="22" t="n"/>
      <c r="F65" s="22" t="n"/>
      <c r="G65" s="22" t="n"/>
      <c r="H65" s="22">
        <f>IF(OR(F65="",G65=""),"",F65*G65)</f>
        <v/>
      </c>
      <c r="I65" s="22" t="n"/>
      <c r="J65" s="22" t="n"/>
      <c r="K65" s="22" t="n"/>
      <c r="L65" s="22" t="n"/>
      <c r="M65" s="22">
        <f>IF(OR(K65="",L65=""),"",K65*L65)</f>
        <v/>
      </c>
      <c r="N65" s="22">
        <f>IF(M65="","",IF(M65&gt;=15,"HIGH",IF(M65&gt;=8,"MEDIUM","LOW")))</f>
        <v/>
      </c>
      <c r="O65" s="22" t="n"/>
      <c r="P65" s="22" t="n"/>
      <c r="Q65" s="22" t="n"/>
      <c r="R65" s="22" t="n"/>
      <c r="S65" s="22" t="n"/>
      <c r="T65" s="22" t="n"/>
      <c r="U65" s="22" t="n"/>
    </row>
    <row r="66" ht="30" customHeight="1">
      <c r="A66" s="22" t="inlineStr">
        <is>
          <t>R49</t>
        </is>
      </c>
      <c r="B66" s="22" t="n"/>
      <c r="C66" s="22" t="n"/>
      <c r="D66" s="22" t="n"/>
      <c r="E66" s="22" t="n"/>
      <c r="F66" s="22" t="n"/>
      <c r="G66" s="22" t="n"/>
      <c r="H66" s="22">
        <f>IF(OR(F66="",G66=""),"",F66*G66)</f>
        <v/>
      </c>
      <c r="I66" s="22" t="n"/>
      <c r="J66" s="22" t="n"/>
      <c r="K66" s="22" t="n"/>
      <c r="L66" s="22" t="n"/>
      <c r="M66" s="22">
        <f>IF(OR(K66="",L66=""),"",K66*L66)</f>
        <v/>
      </c>
      <c r="N66" s="22">
        <f>IF(M66="","",IF(M66&gt;=15,"HIGH",IF(M66&gt;=8,"MEDIUM","LOW")))</f>
        <v/>
      </c>
      <c r="O66" s="22" t="n"/>
      <c r="P66" s="22" t="n"/>
      <c r="Q66" s="22" t="n"/>
      <c r="R66" s="22" t="n"/>
      <c r="S66" s="22" t="n"/>
      <c r="T66" s="22" t="n"/>
      <c r="U66" s="22" t="n"/>
    </row>
    <row r="67" ht="30" customHeight="1">
      <c r="A67" s="22" t="inlineStr">
        <is>
          <t>R50</t>
        </is>
      </c>
      <c r="B67" s="22" t="n"/>
      <c r="C67" s="22" t="n"/>
      <c r="D67" s="22" t="n"/>
      <c r="E67" s="22" t="n"/>
      <c r="F67" s="22" t="n"/>
      <c r="G67" s="22" t="n"/>
      <c r="H67" s="22">
        <f>IF(OR(F67="",G67=""),"",F67*G67)</f>
        <v/>
      </c>
      <c r="I67" s="22" t="n"/>
      <c r="J67" s="22" t="n"/>
      <c r="K67" s="22" t="n"/>
      <c r="L67" s="22" t="n"/>
      <c r="M67" s="22">
        <f>IF(OR(K67="",L67=""),"",K67*L67)</f>
        <v/>
      </c>
      <c r="N67" s="22">
        <f>IF(M67="","",IF(M67&gt;=15,"HIGH",IF(M67&gt;=8,"MEDIUM","LOW")))</f>
        <v/>
      </c>
      <c r="O67" s="22" t="n"/>
      <c r="P67" s="22" t="n"/>
      <c r="Q67" s="22" t="n"/>
      <c r="R67" s="22" t="n"/>
      <c r="S67" s="22" t="n"/>
      <c r="T67" s="22" t="n"/>
      <c r="U67" s="22" t="n"/>
    </row>
    <row r="68" ht="30" customHeight="1">
      <c r="A68" s="22" t="inlineStr">
        <is>
          <t>R51</t>
        </is>
      </c>
      <c r="B68" s="22" t="n"/>
      <c r="C68" s="22" t="n"/>
      <c r="D68" s="22" t="n"/>
      <c r="E68" s="22" t="n"/>
      <c r="F68" s="22" t="n"/>
      <c r="G68" s="22" t="n"/>
      <c r="H68" s="22">
        <f>IF(OR(F68="",G68=""),"",F68*G68)</f>
        <v/>
      </c>
      <c r="I68" s="22" t="n"/>
      <c r="J68" s="22" t="n"/>
      <c r="K68" s="22" t="n"/>
      <c r="L68" s="22" t="n"/>
      <c r="M68" s="22">
        <f>IF(OR(K68="",L68=""),"",K68*L68)</f>
        <v/>
      </c>
      <c r="N68" s="22">
        <f>IF(M68="","",IF(M68&gt;=15,"HIGH",IF(M68&gt;=8,"MEDIUM","LOW")))</f>
        <v/>
      </c>
      <c r="O68" s="22" t="n"/>
      <c r="P68" s="22" t="n"/>
      <c r="Q68" s="22" t="n"/>
      <c r="R68" s="22" t="n"/>
      <c r="S68" s="22" t="n"/>
      <c r="T68" s="22" t="n"/>
      <c r="U68" s="22" t="n"/>
    </row>
  </sheetData>
  <mergeCells count="20">
    <mergeCell ref="A18:U18"/>
    <mergeCell ref="A27:U27"/>
    <mergeCell ref="A3:U3"/>
    <mergeCell ref="A21:U21"/>
    <mergeCell ref="A2:U2"/>
    <mergeCell ref="A33:U33"/>
    <mergeCell ref="A42:U42"/>
    <mergeCell ref="F4:H4"/>
    <mergeCell ref="P4:U4"/>
    <mergeCell ref="A39:U39"/>
    <mergeCell ref="A4:E4"/>
    <mergeCell ref="I4:J4"/>
    <mergeCell ref="A24:U24"/>
    <mergeCell ref="A30:U30"/>
    <mergeCell ref="A48:U48"/>
    <mergeCell ref="A51:U51"/>
    <mergeCell ref="A45:U45"/>
    <mergeCell ref="A36:U36"/>
    <mergeCell ref="A1:U1"/>
    <mergeCell ref="K4:O4"/>
  </mergeCells>
  <conditionalFormatting sqref="H6:H68">
    <cfRule type="cellIs" priority="1" operator="greaterThanOrEqual" dxfId="0">
      <formula>15</formula>
    </cfRule>
    <cfRule type="cellIs" priority="2" operator="between" dxfId="1">
      <formula>8</formula>
      <formula>14</formula>
    </cfRule>
    <cfRule type="cellIs" priority="3" operator="between" dxfId="2">
      <formula>1</formula>
      <formula>7</formula>
    </cfRule>
  </conditionalFormatting>
  <conditionalFormatting sqref="M6:M68">
    <cfRule type="cellIs" priority="4" operator="greaterThanOrEqual" dxfId="0">
      <formula>15</formula>
    </cfRule>
    <cfRule type="cellIs" priority="5" operator="between" dxfId="1">
      <formula>8</formula>
      <formula>14</formula>
    </cfRule>
    <cfRule type="cellIs" priority="6" operator="between" dxfId="2">
      <formula>1</formula>
      <formula>7</formula>
    </cfRule>
  </conditionalFormatting>
  <conditionalFormatting sqref="N6:N68">
    <cfRule type="expression" priority="7" dxfId="0">
      <formula>N6="HIGH"</formula>
    </cfRule>
    <cfRule type="expression" priority="8" dxfId="1">
      <formula>N6="MEDIUM"</formula>
    </cfRule>
    <cfRule type="expression" priority="9" dxfId="2">
      <formula>N6="LOW"</formula>
    </cfRule>
  </conditionalFormatting>
  <dataValidations count="9">
    <dataValidation sqref="B6:B68" showDropDown="0" showInputMessage="0" showErrorMessage="1" allowBlank="1" errorTitle="Invalid entry" error="Please choose a value from the list." type="list">
      <formula1>Lists!$A$2:$A$9</formula1>
    </dataValidation>
    <dataValidation sqref="C6:C68" showDropDown="0" showInputMessage="0" showErrorMessage="1" allowBlank="1" errorTitle="Invalid entry" error="Please choose a value from the list." type="list">
      <formula1>Lists!$F$2:$F$14</formula1>
    </dataValidation>
    <dataValidation sqref="F6:F68" showDropDown="0" showInputMessage="0" showErrorMessage="1" allowBlank="1" errorTitle="Invalid entry" error="Please choose a value from the list." type="list">
      <formula1>Lists!$B$2:$B$6</formula1>
    </dataValidation>
    <dataValidation sqref="G6:G68" showDropDown="0" showInputMessage="0" showErrorMessage="1" allowBlank="1" errorTitle="Invalid entry" error="Please choose a value from the list." type="list">
      <formula1>Lists!$B$2:$B$6</formula1>
    </dataValidation>
    <dataValidation sqref="J6:J68" showDropDown="0" showInputMessage="0" showErrorMessage="1" allowBlank="1" errorTitle="Invalid entry" error="Please choose a value from the list." type="list">
      <formula1>Lists!$C$2:$C$5</formula1>
    </dataValidation>
    <dataValidation sqref="K6:K68" showDropDown="0" showInputMessage="0" showErrorMessage="1" allowBlank="1" errorTitle="Invalid entry" error="Please choose a value from the list." type="list">
      <formula1>Lists!$B$2:$B$6</formula1>
    </dataValidation>
    <dataValidation sqref="L6:L68" showDropDown="0" showInputMessage="0" showErrorMessage="1" allowBlank="1" errorTitle="Invalid entry" error="Please choose a value from the list." type="list">
      <formula1>Lists!$B$2:$B$6</formula1>
    </dataValidation>
    <dataValidation sqref="O6:O68" showDropDown="0" showInputMessage="0" showErrorMessage="1" allowBlank="1" errorTitle="Invalid entry" error="Please choose a value from the list." type="list">
      <formula1>Lists!$D$2:$D$3</formula1>
    </dataValidation>
    <dataValidation sqref="S6:S68" showDropDown="0" showInputMessage="0" showErrorMessage="1" allowBlank="1" errorTitle="Invalid entry" error="Please choose a value from the list." type="list">
      <formula1>Lists!$E$2:$E$5</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cat</t>
        </is>
      </c>
      <c r="B1" t="inlineStr">
        <is>
          <t>score</t>
        </is>
      </c>
      <c r="C1" t="inlineStr">
        <is>
          <t>eff</t>
        </is>
      </c>
      <c r="D1" t="inlineStr">
        <is>
          <t>yn</t>
        </is>
      </c>
      <c r="E1" t="inlineStr">
        <is>
          <t>status</t>
        </is>
      </c>
      <c r="F1" t="inlineStr">
        <is>
          <t>act</t>
        </is>
      </c>
    </row>
    <row r="2">
      <c r="A2" t="inlineStr">
        <is>
          <t>Conduct and customer harm</t>
        </is>
      </c>
      <c r="B2" t="n">
        <v>1</v>
      </c>
      <c r="C2" t="inlineStr">
        <is>
          <t>Effective</t>
        </is>
      </c>
      <c r="D2" t="inlineStr">
        <is>
          <t>Yes</t>
        </is>
      </c>
      <c r="E2" t="inlineStr">
        <is>
          <t>Open</t>
        </is>
      </c>
      <c r="F2" t="inlineStr">
        <is>
          <t>All activities</t>
        </is>
      </c>
    </row>
    <row r="3">
      <c r="A3" t="inlineStr">
        <is>
          <t>Regulatory and legal</t>
        </is>
      </c>
      <c r="B3" t="n">
        <v>2</v>
      </c>
      <c r="C3" t="inlineStr">
        <is>
          <t>Partly effective</t>
        </is>
      </c>
      <c r="D3" t="inlineStr">
        <is>
          <t>No</t>
        </is>
      </c>
      <c r="E3" t="inlineStr">
        <is>
          <t>Action in progress</t>
        </is>
      </c>
      <c r="F3" t="inlineStr">
        <is>
          <t>Credit broking</t>
        </is>
      </c>
    </row>
    <row r="4">
      <c r="A4" t="inlineStr">
        <is>
          <t>Financial crime</t>
        </is>
      </c>
      <c r="B4" t="n">
        <v>3</v>
      </c>
      <c r="C4" t="inlineStr">
        <is>
          <t>Not effective</t>
        </is>
      </c>
      <c r="E4" t="inlineStr">
        <is>
          <t>Accepted within appetite</t>
        </is>
      </c>
      <c r="F4" t="inlineStr">
        <is>
          <t>Debt adjusting and debt counselling</t>
        </is>
      </c>
    </row>
    <row r="5">
      <c r="A5" t="inlineStr">
        <is>
          <t>Operational</t>
        </is>
      </c>
      <c r="B5" t="n">
        <v>4</v>
      </c>
      <c r="C5" t="inlineStr">
        <is>
          <t>Not yet tested</t>
        </is>
      </c>
      <c r="E5" t="inlineStr">
        <is>
          <t>Closed</t>
        </is>
      </c>
      <c r="F5" t="inlineStr">
        <is>
          <t>Debt collecting and debt administration</t>
        </is>
      </c>
    </row>
    <row r="6">
      <c r="A6" t="inlineStr">
        <is>
          <t>Technology, cyber and data</t>
        </is>
      </c>
      <c r="B6" t="n">
        <v>5</v>
      </c>
      <c r="F6" t="inlineStr">
        <is>
          <t>Credit information services and credit references</t>
        </is>
      </c>
    </row>
    <row r="7">
      <c r="A7" t="inlineStr">
        <is>
          <t>Financial and prudential</t>
        </is>
      </c>
      <c r="F7" t="inlineStr">
        <is>
          <t>Peer-to-peer lending platforms</t>
        </is>
      </c>
    </row>
    <row r="8">
      <c r="A8" t="inlineStr">
        <is>
          <t>Strategic and business model</t>
        </is>
      </c>
      <c r="F8" t="inlineStr">
        <is>
          <t>Consumer credit lending</t>
        </is>
      </c>
    </row>
    <row r="9">
      <c r="A9" t="inlineStr">
        <is>
          <t>Reputational</t>
        </is>
      </c>
      <c r="F9" t="inlineStr">
        <is>
          <t>Exercising a lender’s rights and duties</t>
        </is>
      </c>
    </row>
    <row r="10">
      <c r="F10" t="inlineStr">
        <is>
          <t>Consumer hire</t>
        </is>
      </c>
    </row>
    <row r="11">
      <c r="F11" t="inlineStr">
        <is>
          <t>Insurance distribution</t>
        </is>
      </c>
    </row>
    <row r="12">
      <c r="F12" t="inlineStr">
        <is>
          <t>Mortgage intermediation</t>
        </is>
      </c>
    </row>
    <row r="13">
      <c r="F13" t="inlineStr">
        <is>
          <t>Payment services and e-money</t>
        </is>
      </c>
    </row>
    <row r="14">
      <c r="F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2026-09-25T21:00:49Z</dcterms:modified>
  <cp:lastModifiedBy>Matthew Gunn</cp:lastModifiedBy>
</cp:coreProperties>
</file>