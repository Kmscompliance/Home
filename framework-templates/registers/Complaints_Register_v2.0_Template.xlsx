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Complaints Register" sheetId="2" state="visible" r:id="rId2"/>
    <sheet xmlns:r="http://schemas.openxmlformats.org/officeDocument/2006/relationships" name="Summary" sheetId="3" state="visible" r:id="rId3"/>
    <sheet xmlns:r="http://schemas.openxmlformats.org/officeDocument/2006/relationships" name="Lists" sheetId="4" state="hidden" r:id="rId4"/>
  </sheets>
  <definedNames>
    <definedName name="_xlnm.Print_Titles" localSheetId="1">'Complaints Register'!$5:$5</definedName>
    <definedName name="_xlnm.Print_Titles" localSheetId="2">'Summary'!$4:$4</definedName>
  </definedNames>
  <calcPr calcId="191029" fullCalcOnLoad="1"/>
</workbook>
</file>

<file path=xl/styles.xml><?xml version="1.0" encoding="utf-8"?>
<styleSheet xmlns="http://schemas.openxmlformats.org/spreadsheetml/2006/main">
  <numFmts count="1">
    <numFmt numFmtId="164" formatCode="DD/MM/YYYY"/>
  </numFmts>
  <fonts count="13">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s>
  <fills count="7">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2F2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5">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6" borderId="0" applyAlignment="1" pivotButton="0" quotePrefix="0" xfId="0">
      <alignment vertical="top" wrapText="1"/>
    </xf>
    <xf numFmtId="0" fontId="11" fillId="5" borderId="2" applyAlignment="1" pivotButton="0" quotePrefix="0" xfId="0">
      <alignment horizontal="center" vertical="center" wrapText="1"/>
    </xf>
    <xf numFmtId="0" fontId="0" fillId="5" borderId="2" pivotButton="0" quotePrefix="0" xfId="0"/>
    <xf numFmtId="0" fontId="9" fillId="0" borderId="2" applyAlignment="1" pivotButton="0" quotePrefix="0" xfId="0">
      <alignment vertical="top" wrapText="1"/>
    </xf>
    <xf numFmtId="164" fontId="9" fillId="0" borderId="2" applyAlignment="1" pivotButton="0" quotePrefix="0" xfId="0">
      <alignment vertical="top" wrapText="1"/>
    </xf>
    <xf numFmtId="0" fontId="12" fillId="0" borderId="2" applyAlignment="1" pivotButton="0" quotePrefix="0" xfId="0">
      <alignment vertical="top" wrapText="1"/>
    </xf>
  </cellXfs>
  <cellStyles count="1">
    <cellStyle name="Normal" xfId="0" builtinId="0"/>
  </cellStyles>
  <dxfs count="1">
    <dxf>
      <fill>
        <patternFill patternType="solid">
          <fgColor rgb="00F4B6B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7"/>
  <sheetViews>
    <sheetView showGridLines="0" workbookViewId="0">
      <selection activeCell="A1" sqref="A1"/>
    </sheetView>
  </sheetViews>
  <sheetFormatPr baseColWidth="8" defaultRowHeight="15"/>
  <cols>
    <col width="120" customWidth="1" min="1" max="1"/>
  </cols>
  <sheetData>
    <row r="1" ht="30" customHeight="1">
      <c r="A1" s="15" t="inlineStr">
        <is>
          <t>Complaints Register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8" t="inlineStr">
        <is>
          <t>Yellow cells containing text in [square brackets] are placeholders – replace them with your own details. Green header cells are column headings; do not delete a column unless the guidance for that column says you may.</t>
        </is>
      </c>
    </row>
    <row r="7" ht="49" customHeight="1">
      <c r="A7"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8" t="inlineStr">
        <is>
          <t>Drop-down lists are provided for consistency. The underlying lists are on a hidden sheet called “Lists” – unhide it (right-click any sheet tab, Unhide) if you need to change them.</t>
        </is>
      </c>
    </row>
    <row r="9" ht="34" customHeight="1">
      <c r="A9" s="18" t="inlineStr">
        <is>
          <t>Keep this register securely, restrict access to the people who need it, and keep it for the retention period set out in the relevant policy and your Data Retention Schedule.</t>
        </is>
      </c>
    </row>
    <row r="10" ht="22" customHeight="1">
      <c r="A10" s="17" t="inlineStr">
        <is>
          <t>What to record</t>
        </is>
      </c>
    </row>
    <row r="11" ht="49" customHeight="1">
      <c r="A11" s="18" t="inlineStr">
        <is>
          <t>Record every complaint – any oral or written expression of dissatisfaction about our financial services alleging financial loss, material distress or material inconvenience – on the day it is received (or by the end of the next business day). The DISP time limits run from the date any member of staff, or anyone acting for us, first received it.</t>
        </is>
      </c>
    </row>
    <row r="12" ht="22" customHeight="1">
      <c r="A12" s="17" t="inlineStr">
        <is>
          <t>Deadlines</t>
        </is>
      </c>
    </row>
    <row r="13" ht="64" customHeight="1">
      <c r="A13" s="18" t="inlineStr">
        <is>
          <t>The register calculates: the summary resolution deadline (close of the third business day after receipt); the eight-week final response deadline; and, for payment services complaints, the 15-business-day deadline (35 business days in exceptional circumstances). The business-day formulas do not exclude bank holidays – check dates close to bank holidays. Delete the payment services columns if you do not provide payment services.</t>
        </is>
      </c>
    </row>
    <row r="14" ht="22" customHeight="1">
      <c r="A14" s="17" t="inlineStr">
        <is>
          <t>Root causes and reporting</t>
        </is>
      </c>
    </row>
    <row r="15" ht="49" customHeight="1">
      <c r="A15" s="18" t="inlineStr">
        <is>
          <t>Record a root cause for every complaint. The Summary sheet counts complaints by category and outcome for your management information, Consumer Duty monitoring and the FCA complaints return (from 1 January 2027, the consolidated complaints return under PS25/19).</t>
        </is>
      </c>
    </row>
    <row r="16" ht="22" customHeight="1">
      <c r="A16" s="17" t="inlineStr">
        <is>
          <t>Data protection complaints</t>
        </is>
      </c>
    </row>
    <row r="17" ht="34" customHeight="1">
      <c r="A17" s="18" t="inlineStr">
        <is>
          <t>Since 19 June 2026 data protection complaints must be acknowledged within 30 days. Tick the data protection column so the acknowledgement deadline is calculated.</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AB155"/>
  <sheetViews>
    <sheetView showGridLines="0" workbookViewId="0">
      <pane ySplit="5" topLeftCell="A6" activePane="bottomLeft" state="frozen"/>
      <selection pane="bottomLeft" activeCell="A1" sqref="A1"/>
    </sheetView>
  </sheetViews>
  <sheetFormatPr baseColWidth="8" defaultRowHeight="15"/>
  <cols>
    <col width="9" customWidth="1" min="1" max="1"/>
    <col width="11" customWidth="1" min="2" max="2"/>
    <col width="14" customWidth="1" min="3" max="3"/>
    <col width="12" customWidth="1" min="4" max="4"/>
    <col width="18" customWidth="1" min="5" max="5"/>
    <col width="14" customWidth="1" min="6" max="6"/>
    <col width="18" customWidth="1" min="7" max="7"/>
    <col width="18" customWidth="1" min="8" max="8"/>
    <col width="36" customWidth="1" min="9" max="9"/>
    <col width="20" customWidth="1" min="10" max="10"/>
    <col width="11" customWidth="1" min="11" max="11"/>
    <col width="12" customWidth="1" min="12" max="12"/>
    <col width="11" customWidth="1" min="13" max="13"/>
    <col width="13" customWidth="1" min="14" max="14"/>
    <col width="12" customWidth="1" min="15" max="15"/>
    <col width="12" customWidth="1" min="16" max="16"/>
    <col width="12" customWidth="1" min="17" max="17"/>
    <col width="13" customWidth="1" min="18" max="18"/>
    <col width="14" customWidth="1" min="19" max="19"/>
    <col width="13" customWidth="1" min="20" max="20"/>
    <col width="20" customWidth="1" min="21" max="21"/>
    <col width="14" customWidth="1" min="22" max="22"/>
    <col width="11" customWidth="1" min="23" max="23"/>
    <col width="16" customWidth="1" min="24" max="24"/>
    <col width="26" customWidth="1" min="25" max="25"/>
    <col width="22" customWidth="1" min="26" max="26"/>
    <col width="18" customWidth="1" min="27" max="27"/>
    <col width="20" customWidth="1" min="28" max="28"/>
  </cols>
  <sheetData>
    <row r="1" ht="30" customHeight="1">
      <c r="A1" s="15" t="inlineStr">
        <is>
          <t>Complaints Register</t>
        </is>
      </c>
    </row>
    <row r="2" ht="20" customHeight="1">
      <c r="A2" s="16" t="inlineStr">
        <is>
          <t>Firm: [Insert firm legal name]   |   Register owner: [Insert name and role]   |   Last reviewed: [Insert date]</t>
        </is>
      </c>
    </row>
    <row r="3" ht="19" customHeight="1">
      <c r="A3" s="19" t="inlineStr">
        <is>
          <t>KMS guidance: Record every complaint by the end of the next business day. Deadlines calculate automatically from the date received. Delete columns L, P and Q if you do not provide payment services.</t>
        </is>
      </c>
    </row>
    <row r="4">
      <c r="A4" s="20" t="inlineStr">
        <is>
          <t>Complaint details</t>
        </is>
      </c>
      <c r="B4" s="21" t="n"/>
      <c r="C4" s="21" t="n"/>
      <c r="D4" s="21" t="n"/>
      <c r="E4" s="21" t="n"/>
      <c r="F4" s="21" t="n"/>
      <c r="G4" s="21" t="n"/>
      <c r="H4" s="21" t="n"/>
      <c r="I4" s="21" t="n"/>
      <c r="J4" s="21" t="n"/>
      <c r="K4" s="21" t="n"/>
      <c r="L4" s="21" t="n"/>
      <c r="M4" s="20" t="inlineStr">
        <is>
          <t>Deadlines (calculated)</t>
        </is>
      </c>
      <c r="N4" s="21" t="n"/>
      <c r="O4" s="21" t="n"/>
      <c r="P4" s="21" t="n"/>
      <c r="Q4" s="21" t="n"/>
      <c r="R4" s="21" t="n"/>
      <c r="S4" s="20" t="inlineStr">
        <is>
          <t>Response and outcome</t>
        </is>
      </c>
      <c r="T4" s="21" t="n"/>
      <c r="U4" s="21" t="n"/>
      <c r="V4" s="21" t="n"/>
      <c r="W4" s="21" t="n"/>
      <c r="X4" s="21" t="n"/>
      <c r="Y4" s="20" t="inlineStr">
        <is>
          <t>Learning and Ombudsman</t>
        </is>
      </c>
      <c r="Z4" s="21" t="n"/>
      <c r="AA4" s="21" t="n"/>
      <c r="AB4" s="21" t="n"/>
    </row>
    <row r="5" ht="60" customHeight="1">
      <c r="A5" s="20" t="inlineStr">
        <is>
          <t>Ref.</t>
        </is>
      </c>
      <c r="B5" s="20" t="inlineStr">
        <is>
          <t>Date received</t>
        </is>
      </c>
      <c r="C5" s="20" t="inlineStr">
        <is>
          <t>Received by</t>
        </is>
      </c>
      <c r="D5" s="20" t="inlineStr">
        <is>
          <t>Channel</t>
        </is>
      </c>
      <c r="E5" s="20" t="inlineStr">
        <is>
          <t>Complainant name</t>
        </is>
      </c>
      <c r="F5" s="20" t="inlineStr">
        <is>
          <t>Customer / representative</t>
        </is>
      </c>
      <c r="G5" s="20" t="inlineStr">
        <is>
          <t>Regulated activity / product</t>
        </is>
      </c>
      <c r="H5" s="20" t="inlineStr">
        <is>
          <t>Complaint category</t>
        </is>
      </c>
      <c r="I5" s="20" t="inlineStr">
        <is>
          <t>Summary of complaint</t>
        </is>
      </c>
      <c r="J5" s="20" t="inlineStr">
        <is>
          <t>Vulnerability / adjustments</t>
        </is>
      </c>
      <c r="K5" s="20" t="inlineStr">
        <is>
          <t>Data protection complaint?</t>
        </is>
      </c>
      <c r="L5" s="20" t="inlineStr">
        <is>
          <t>Payment services (PSRs Parts 6/7) complaint?</t>
        </is>
      </c>
      <c r="M5" s="20" t="inlineStr">
        <is>
          <t>Acknowledged on</t>
        </is>
      </c>
      <c r="N5" s="20" t="inlineStr">
        <is>
          <t>Summary resolution deadline (3 business days)</t>
        </is>
      </c>
      <c r="O5" s="20" t="inlineStr">
        <is>
          <t>Final response deadline (8 weeks)</t>
        </is>
      </c>
      <c r="P5" s="20" t="inlineStr">
        <is>
          <t>PSR deadline (15 business days)</t>
        </is>
      </c>
      <c r="Q5" s="20" t="inlineStr">
        <is>
          <t>PSR exceptional deadline (35 business days)</t>
        </is>
      </c>
      <c r="R5" s="20" t="inlineStr">
        <is>
          <t>Data protection acknowledgement deadline (30 days)</t>
        </is>
      </c>
      <c r="S5" s="20" t="inlineStr">
        <is>
          <t>Handler</t>
        </is>
      </c>
      <c r="T5" s="20" t="inlineStr">
        <is>
          <t>Date of final response / 8-week letter</t>
        </is>
      </c>
      <c r="U5" s="20" t="inlineStr">
        <is>
          <t>Outcome</t>
        </is>
      </c>
      <c r="V5" s="20" t="inlineStr">
        <is>
          <t>Redress (£ and type)</t>
        </is>
      </c>
      <c r="W5" s="20" t="inlineStr">
        <is>
          <t>Date redress paid</t>
        </is>
      </c>
      <c r="X5" s="20" t="inlineStr">
        <is>
          <t>Forwarded to (firm)</t>
        </is>
      </c>
      <c r="Y5" s="20" t="inlineStr">
        <is>
          <t>Root cause</t>
        </is>
      </c>
      <c r="Z5" s="20" t="inlineStr">
        <is>
          <t>Wider action taken (Corrective Action Log ref.)</t>
        </is>
      </c>
      <c r="AA5" s="20" t="inlineStr">
        <is>
          <t>Ombudsman referral</t>
        </is>
      </c>
      <c r="AB5" s="20" t="inlineStr">
        <is>
          <t>Ombudsman outcome and date</t>
        </is>
      </c>
    </row>
    <row r="6" ht="24" customHeight="1">
      <c r="A6" s="22" t="inlineStr">
        <is>
          <t>CR-001</t>
        </is>
      </c>
      <c r="B6" s="23" t="n"/>
      <c r="C6" s="22" t="n"/>
      <c r="D6" s="22" t="n"/>
      <c r="E6" s="22" t="n"/>
      <c r="F6" s="22" t="n"/>
      <c r="G6" s="22" t="n"/>
      <c r="H6" s="22" t="n"/>
      <c r="I6" s="22" t="n"/>
      <c r="J6" s="22" t="n"/>
      <c r="K6" s="22" t="n"/>
      <c r="L6" s="22" t="n"/>
      <c r="M6" s="23" t="n"/>
      <c r="N6" s="23">
        <f>IF(B6="","",WORKDAY(B6,3))</f>
        <v/>
      </c>
      <c r="O6" s="23">
        <f>IF(B6="","",B6+56)</f>
        <v/>
      </c>
      <c r="P6" s="23">
        <f>IF(OR(B6="",L6&lt;&gt;"Yes"),"",WORKDAY(B6,15))</f>
        <v/>
      </c>
      <c r="Q6" s="23">
        <f>IF(OR(B6="",L6&lt;&gt;"Yes"),"",WORKDAY(B6,35))</f>
        <v/>
      </c>
      <c r="R6" s="23">
        <f>IF(OR(B6="",K6&lt;&gt;"Yes"),"",B6+30)</f>
        <v/>
      </c>
      <c r="S6" s="22" t="n"/>
      <c r="T6" s="23" t="n"/>
      <c r="U6" s="22" t="n"/>
      <c r="V6" s="22" t="n"/>
      <c r="W6" s="23" t="n"/>
      <c r="X6" s="22" t="n"/>
      <c r="Y6" s="22" t="n"/>
      <c r="Z6" s="22" t="n"/>
      <c r="AA6" s="22" t="n"/>
      <c r="AB6" s="22" t="n"/>
    </row>
    <row r="7" ht="24" customHeight="1">
      <c r="A7" s="22" t="inlineStr">
        <is>
          <t>CR-002</t>
        </is>
      </c>
      <c r="B7" s="23" t="n"/>
      <c r="C7" s="22" t="n"/>
      <c r="D7" s="22" t="n"/>
      <c r="E7" s="22" t="n"/>
      <c r="F7" s="22" t="n"/>
      <c r="G7" s="22" t="n"/>
      <c r="H7" s="22" t="n"/>
      <c r="I7" s="22" t="n"/>
      <c r="J7" s="22" t="n"/>
      <c r="K7" s="22" t="n"/>
      <c r="L7" s="22" t="n"/>
      <c r="M7" s="23" t="n"/>
      <c r="N7" s="23">
        <f>IF(B7="","",WORKDAY(B7,3))</f>
        <v/>
      </c>
      <c r="O7" s="23">
        <f>IF(B7="","",B7+56)</f>
        <v/>
      </c>
      <c r="P7" s="23">
        <f>IF(OR(B7="",L7&lt;&gt;"Yes"),"",WORKDAY(B7,15))</f>
        <v/>
      </c>
      <c r="Q7" s="23">
        <f>IF(OR(B7="",L7&lt;&gt;"Yes"),"",WORKDAY(B7,35))</f>
        <v/>
      </c>
      <c r="R7" s="23">
        <f>IF(OR(B7="",K7&lt;&gt;"Yes"),"",B7+30)</f>
        <v/>
      </c>
      <c r="S7" s="22" t="n"/>
      <c r="T7" s="23" t="n"/>
      <c r="U7" s="22" t="n"/>
      <c r="V7" s="22" t="n"/>
      <c r="W7" s="23" t="n"/>
      <c r="X7" s="22" t="n"/>
      <c r="Y7" s="22" t="n"/>
      <c r="Z7" s="22" t="n"/>
      <c r="AA7" s="22" t="n"/>
      <c r="AB7" s="22" t="n"/>
    </row>
    <row r="8" ht="24" customHeight="1">
      <c r="A8" s="22" t="inlineStr">
        <is>
          <t>CR-003</t>
        </is>
      </c>
      <c r="B8" s="23" t="n"/>
      <c r="C8" s="22" t="n"/>
      <c r="D8" s="22" t="n"/>
      <c r="E8" s="22" t="n"/>
      <c r="F8" s="22" t="n"/>
      <c r="G8" s="22" t="n"/>
      <c r="H8" s="22" t="n"/>
      <c r="I8" s="22" t="n"/>
      <c r="J8" s="22" t="n"/>
      <c r="K8" s="22" t="n"/>
      <c r="L8" s="22" t="n"/>
      <c r="M8" s="23" t="n"/>
      <c r="N8" s="23">
        <f>IF(B8="","",WORKDAY(B8,3))</f>
        <v/>
      </c>
      <c r="O8" s="23">
        <f>IF(B8="","",B8+56)</f>
        <v/>
      </c>
      <c r="P8" s="23">
        <f>IF(OR(B8="",L8&lt;&gt;"Yes"),"",WORKDAY(B8,15))</f>
        <v/>
      </c>
      <c r="Q8" s="23">
        <f>IF(OR(B8="",L8&lt;&gt;"Yes"),"",WORKDAY(B8,35))</f>
        <v/>
      </c>
      <c r="R8" s="23">
        <f>IF(OR(B8="",K8&lt;&gt;"Yes"),"",B8+30)</f>
        <v/>
      </c>
      <c r="S8" s="22" t="n"/>
      <c r="T8" s="23" t="n"/>
      <c r="U8" s="22" t="n"/>
      <c r="V8" s="22" t="n"/>
      <c r="W8" s="23" t="n"/>
      <c r="X8" s="22" t="n"/>
      <c r="Y8" s="22" t="n"/>
      <c r="Z8" s="22" t="n"/>
      <c r="AA8" s="22" t="n"/>
      <c r="AB8" s="22" t="n"/>
    </row>
    <row r="9" ht="24" customHeight="1">
      <c r="A9" s="22" t="inlineStr">
        <is>
          <t>CR-004</t>
        </is>
      </c>
      <c r="B9" s="23" t="n"/>
      <c r="C9" s="22" t="n"/>
      <c r="D9" s="22" t="n"/>
      <c r="E9" s="22" t="n"/>
      <c r="F9" s="22" t="n"/>
      <c r="G9" s="22" t="n"/>
      <c r="H9" s="22" t="n"/>
      <c r="I9" s="22" t="n"/>
      <c r="J9" s="22" t="n"/>
      <c r="K9" s="22" t="n"/>
      <c r="L9" s="22" t="n"/>
      <c r="M9" s="23" t="n"/>
      <c r="N9" s="23">
        <f>IF(B9="","",WORKDAY(B9,3))</f>
        <v/>
      </c>
      <c r="O9" s="23">
        <f>IF(B9="","",B9+56)</f>
        <v/>
      </c>
      <c r="P9" s="23">
        <f>IF(OR(B9="",L9&lt;&gt;"Yes"),"",WORKDAY(B9,15))</f>
        <v/>
      </c>
      <c r="Q9" s="23">
        <f>IF(OR(B9="",L9&lt;&gt;"Yes"),"",WORKDAY(B9,35))</f>
        <v/>
      </c>
      <c r="R9" s="23">
        <f>IF(OR(B9="",K9&lt;&gt;"Yes"),"",B9+30)</f>
        <v/>
      </c>
      <c r="S9" s="22" t="n"/>
      <c r="T9" s="23" t="n"/>
      <c r="U9" s="22" t="n"/>
      <c r="V9" s="22" t="n"/>
      <c r="W9" s="23" t="n"/>
      <c r="X9" s="22" t="n"/>
      <c r="Y9" s="22" t="n"/>
      <c r="Z9" s="22" t="n"/>
      <c r="AA9" s="22" t="n"/>
      <c r="AB9" s="22" t="n"/>
    </row>
    <row r="10" ht="24" customHeight="1">
      <c r="A10" s="22" t="inlineStr">
        <is>
          <t>CR-005</t>
        </is>
      </c>
      <c r="B10" s="23" t="n"/>
      <c r="C10" s="22" t="n"/>
      <c r="D10" s="22" t="n"/>
      <c r="E10" s="22" t="n"/>
      <c r="F10" s="22" t="n"/>
      <c r="G10" s="22" t="n"/>
      <c r="H10" s="22" t="n"/>
      <c r="I10" s="22" t="n"/>
      <c r="J10" s="22" t="n"/>
      <c r="K10" s="22" t="n"/>
      <c r="L10" s="22" t="n"/>
      <c r="M10" s="23" t="n"/>
      <c r="N10" s="23">
        <f>IF(B10="","",WORKDAY(B10,3))</f>
        <v/>
      </c>
      <c r="O10" s="23">
        <f>IF(B10="","",B10+56)</f>
        <v/>
      </c>
      <c r="P10" s="23">
        <f>IF(OR(B10="",L10&lt;&gt;"Yes"),"",WORKDAY(B10,15))</f>
        <v/>
      </c>
      <c r="Q10" s="23">
        <f>IF(OR(B10="",L10&lt;&gt;"Yes"),"",WORKDAY(B10,35))</f>
        <v/>
      </c>
      <c r="R10" s="23">
        <f>IF(OR(B10="",K10&lt;&gt;"Yes"),"",B10+30)</f>
        <v/>
      </c>
      <c r="S10" s="22" t="n"/>
      <c r="T10" s="23" t="n"/>
      <c r="U10" s="22" t="n"/>
      <c r="V10" s="22" t="n"/>
      <c r="W10" s="23" t="n"/>
      <c r="X10" s="22" t="n"/>
      <c r="Y10" s="22" t="n"/>
      <c r="Z10" s="22" t="n"/>
      <c r="AA10" s="22" t="n"/>
      <c r="AB10" s="22" t="n"/>
    </row>
    <row r="11" ht="24" customHeight="1">
      <c r="A11" s="22" t="inlineStr">
        <is>
          <t>CR-006</t>
        </is>
      </c>
      <c r="B11" s="23" t="n"/>
      <c r="C11" s="22" t="n"/>
      <c r="D11" s="22" t="n"/>
      <c r="E11" s="22" t="n"/>
      <c r="F11" s="22" t="n"/>
      <c r="G11" s="22" t="n"/>
      <c r="H11" s="22" t="n"/>
      <c r="I11" s="22" t="n"/>
      <c r="J11" s="22" t="n"/>
      <c r="K11" s="22" t="n"/>
      <c r="L11" s="22" t="n"/>
      <c r="M11" s="23" t="n"/>
      <c r="N11" s="23">
        <f>IF(B11="","",WORKDAY(B11,3))</f>
        <v/>
      </c>
      <c r="O11" s="23">
        <f>IF(B11="","",B11+56)</f>
        <v/>
      </c>
      <c r="P11" s="23">
        <f>IF(OR(B11="",L11&lt;&gt;"Yes"),"",WORKDAY(B11,15))</f>
        <v/>
      </c>
      <c r="Q11" s="23">
        <f>IF(OR(B11="",L11&lt;&gt;"Yes"),"",WORKDAY(B11,35))</f>
        <v/>
      </c>
      <c r="R11" s="23">
        <f>IF(OR(B11="",K11&lt;&gt;"Yes"),"",B11+30)</f>
        <v/>
      </c>
      <c r="S11" s="22" t="n"/>
      <c r="T11" s="23" t="n"/>
      <c r="U11" s="22" t="n"/>
      <c r="V11" s="22" t="n"/>
      <c r="W11" s="23" t="n"/>
      <c r="X11" s="22" t="n"/>
      <c r="Y11" s="22" t="n"/>
      <c r="Z11" s="22" t="n"/>
      <c r="AA11" s="22" t="n"/>
      <c r="AB11" s="22" t="n"/>
    </row>
    <row r="12" ht="24" customHeight="1">
      <c r="A12" s="22" t="inlineStr">
        <is>
          <t>CR-007</t>
        </is>
      </c>
      <c r="B12" s="23" t="n"/>
      <c r="C12" s="22" t="n"/>
      <c r="D12" s="22" t="n"/>
      <c r="E12" s="22" t="n"/>
      <c r="F12" s="22" t="n"/>
      <c r="G12" s="22" t="n"/>
      <c r="H12" s="22" t="n"/>
      <c r="I12" s="22" t="n"/>
      <c r="J12" s="22" t="n"/>
      <c r="K12" s="22" t="n"/>
      <c r="L12" s="22" t="n"/>
      <c r="M12" s="23" t="n"/>
      <c r="N12" s="23">
        <f>IF(B12="","",WORKDAY(B12,3))</f>
        <v/>
      </c>
      <c r="O12" s="23">
        <f>IF(B12="","",B12+56)</f>
        <v/>
      </c>
      <c r="P12" s="23">
        <f>IF(OR(B12="",L12&lt;&gt;"Yes"),"",WORKDAY(B12,15))</f>
        <v/>
      </c>
      <c r="Q12" s="23">
        <f>IF(OR(B12="",L12&lt;&gt;"Yes"),"",WORKDAY(B12,35))</f>
        <v/>
      </c>
      <c r="R12" s="23">
        <f>IF(OR(B12="",K12&lt;&gt;"Yes"),"",B12+30)</f>
        <v/>
      </c>
      <c r="S12" s="22" t="n"/>
      <c r="T12" s="23" t="n"/>
      <c r="U12" s="22" t="n"/>
      <c r="V12" s="22" t="n"/>
      <c r="W12" s="23" t="n"/>
      <c r="X12" s="22" t="n"/>
      <c r="Y12" s="22" t="n"/>
      <c r="Z12" s="22" t="n"/>
      <c r="AA12" s="22" t="n"/>
      <c r="AB12" s="22" t="n"/>
    </row>
    <row r="13" ht="24" customHeight="1">
      <c r="A13" s="22" t="inlineStr">
        <is>
          <t>CR-008</t>
        </is>
      </c>
      <c r="B13" s="23" t="n"/>
      <c r="C13" s="22" t="n"/>
      <c r="D13" s="22" t="n"/>
      <c r="E13" s="22" t="n"/>
      <c r="F13" s="22" t="n"/>
      <c r="G13" s="22" t="n"/>
      <c r="H13" s="22" t="n"/>
      <c r="I13" s="22" t="n"/>
      <c r="J13" s="22" t="n"/>
      <c r="K13" s="22" t="n"/>
      <c r="L13" s="22" t="n"/>
      <c r="M13" s="23" t="n"/>
      <c r="N13" s="23">
        <f>IF(B13="","",WORKDAY(B13,3))</f>
        <v/>
      </c>
      <c r="O13" s="23">
        <f>IF(B13="","",B13+56)</f>
        <v/>
      </c>
      <c r="P13" s="23">
        <f>IF(OR(B13="",L13&lt;&gt;"Yes"),"",WORKDAY(B13,15))</f>
        <v/>
      </c>
      <c r="Q13" s="23">
        <f>IF(OR(B13="",L13&lt;&gt;"Yes"),"",WORKDAY(B13,35))</f>
        <v/>
      </c>
      <c r="R13" s="23">
        <f>IF(OR(B13="",K13&lt;&gt;"Yes"),"",B13+30)</f>
        <v/>
      </c>
      <c r="S13" s="22" t="n"/>
      <c r="T13" s="23" t="n"/>
      <c r="U13" s="22" t="n"/>
      <c r="V13" s="22" t="n"/>
      <c r="W13" s="23" t="n"/>
      <c r="X13" s="22" t="n"/>
      <c r="Y13" s="22" t="n"/>
      <c r="Z13" s="22" t="n"/>
      <c r="AA13" s="22" t="n"/>
      <c r="AB13" s="22" t="n"/>
    </row>
    <row r="14" ht="24" customHeight="1">
      <c r="A14" s="22" t="inlineStr">
        <is>
          <t>CR-009</t>
        </is>
      </c>
      <c r="B14" s="23" t="n"/>
      <c r="C14" s="22" t="n"/>
      <c r="D14" s="22" t="n"/>
      <c r="E14" s="22" t="n"/>
      <c r="F14" s="22" t="n"/>
      <c r="G14" s="22" t="n"/>
      <c r="H14" s="22" t="n"/>
      <c r="I14" s="22" t="n"/>
      <c r="J14" s="22" t="n"/>
      <c r="K14" s="22" t="n"/>
      <c r="L14" s="22" t="n"/>
      <c r="M14" s="23" t="n"/>
      <c r="N14" s="23">
        <f>IF(B14="","",WORKDAY(B14,3))</f>
        <v/>
      </c>
      <c r="O14" s="23">
        <f>IF(B14="","",B14+56)</f>
        <v/>
      </c>
      <c r="P14" s="23">
        <f>IF(OR(B14="",L14&lt;&gt;"Yes"),"",WORKDAY(B14,15))</f>
        <v/>
      </c>
      <c r="Q14" s="23">
        <f>IF(OR(B14="",L14&lt;&gt;"Yes"),"",WORKDAY(B14,35))</f>
        <v/>
      </c>
      <c r="R14" s="23">
        <f>IF(OR(B14="",K14&lt;&gt;"Yes"),"",B14+30)</f>
        <v/>
      </c>
      <c r="S14" s="22" t="n"/>
      <c r="T14" s="23" t="n"/>
      <c r="U14" s="22" t="n"/>
      <c r="V14" s="22" t="n"/>
      <c r="W14" s="23" t="n"/>
      <c r="X14" s="22" t="n"/>
      <c r="Y14" s="22" t="n"/>
      <c r="Z14" s="22" t="n"/>
      <c r="AA14" s="22" t="n"/>
      <c r="AB14" s="22" t="n"/>
    </row>
    <row r="15" ht="24" customHeight="1">
      <c r="A15" s="22" t="inlineStr">
        <is>
          <t>CR-010</t>
        </is>
      </c>
      <c r="B15" s="23" t="n"/>
      <c r="C15" s="22" t="n"/>
      <c r="D15" s="22" t="n"/>
      <c r="E15" s="22" t="n"/>
      <c r="F15" s="22" t="n"/>
      <c r="G15" s="22" t="n"/>
      <c r="H15" s="22" t="n"/>
      <c r="I15" s="22" t="n"/>
      <c r="J15" s="22" t="n"/>
      <c r="K15" s="22" t="n"/>
      <c r="L15" s="22" t="n"/>
      <c r="M15" s="23" t="n"/>
      <c r="N15" s="23">
        <f>IF(B15="","",WORKDAY(B15,3))</f>
        <v/>
      </c>
      <c r="O15" s="23">
        <f>IF(B15="","",B15+56)</f>
        <v/>
      </c>
      <c r="P15" s="23">
        <f>IF(OR(B15="",L15&lt;&gt;"Yes"),"",WORKDAY(B15,15))</f>
        <v/>
      </c>
      <c r="Q15" s="23">
        <f>IF(OR(B15="",L15&lt;&gt;"Yes"),"",WORKDAY(B15,35))</f>
        <v/>
      </c>
      <c r="R15" s="23">
        <f>IF(OR(B15="",K15&lt;&gt;"Yes"),"",B15+30)</f>
        <v/>
      </c>
      <c r="S15" s="22" t="n"/>
      <c r="T15" s="23" t="n"/>
      <c r="U15" s="22" t="n"/>
      <c r="V15" s="22" t="n"/>
      <c r="W15" s="23" t="n"/>
      <c r="X15" s="22" t="n"/>
      <c r="Y15" s="22" t="n"/>
      <c r="Z15" s="22" t="n"/>
      <c r="AA15" s="22" t="n"/>
      <c r="AB15" s="22" t="n"/>
    </row>
    <row r="16" ht="24" customHeight="1">
      <c r="A16" s="22" t="inlineStr">
        <is>
          <t>CR-011</t>
        </is>
      </c>
      <c r="B16" s="23" t="n"/>
      <c r="C16" s="22" t="n"/>
      <c r="D16" s="22" t="n"/>
      <c r="E16" s="22" t="n"/>
      <c r="F16" s="22" t="n"/>
      <c r="G16" s="22" t="n"/>
      <c r="H16" s="22" t="n"/>
      <c r="I16" s="22" t="n"/>
      <c r="J16" s="22" t="n"/>
      <c r="K16" s="22" t="n"/>
      <c r="L16" s="22" t="n"/>
      <c r="M16" s="23" t="n"/>
      <c r="N16" s="23">
        <f>IF(B16="","",WORKDAY(B16,3))</f>
        <v/>
      </c>
      <c r="O16" s="23">
        <f>IF(B16="","",B16+56)</f>
        <v/>
      </c>
      <c r="P16" s="23">
        <f>IF(OR(B16="",L16&lt;&gt;"Yes"),"",WORKDAY(B16,15))</f>
        <v/>
      </c>
      <c r="Q16" s="23">
        <f>IF(OR(B16="",L16&lt;&gt;"Yes"),"",WORKDAY(B16,35))</f>
        <v/>
      </c>
      <c r="R16" s="23">
        <f>IF(OR(B16="",K16&lt;&gt;"Yes"),"",B16+30)</f>
        <v/>
      </c>
      <c r="S16" s="22" t="n"/>
      <c r="T16" s="23" t="n"/>
      <c r="U16" s="22" t="n"/>
      <c r="V16" s="22" t="n"/>
      <c r="W16" s="23" t="n"/>
      <c r="X16" s="22" t="n"/>
      <c r="Y16" s="22" t="n"/>
      <c r="Z16" s="22" t="n"/>
      <c r="AA16" s="22" t="n"/>
      <c r="AB16" s="22" t="n"/>
    </row>
    <row r="17" ht="24" customHeight="1">
      <c r="A17" s="22" t="inlineStr">
        <is>
          <t>CR-012</t>
        </is>
      </c>
      <c r="B17" s="23" t="n"/>
      <c r="C17" s="22" t="n"/>
      <c r="D17" s="22" t="n"/>
      <c r="E17" s="22" t="n"/>
      <c r="F17" s="22" t="n"/>
      <c r="G17" s="22" t="n"/>
      <c r="H17" s="22" t="n"/>
      <c r="I17" s="22" t="n"/>
      <c r="J17" s="22" t="n"/>
      <c r="K17" s="22" t="n"/>
      <c r="L17" s="22" t="n"/>
      <c r="M17" s="23" t="n"/>
      <c r="N17" s="23">
        <f>IF(B17="","",WORKDAY(B17,3))</f>
        <v/>
      </c>
      <c r="O17" s="23">
        <f>IF(B17="","",B17+56)</f>
        <v/>
      </c>
      <c r="P17" s="23">
        <f>IF(OR(B17="",L17&lt;&gt;"Yes"),"",WORKDAY(B17,15))</f>
        <v/>
      </c>
      <c r="Q17" s="23">
        <f>IF(OR(B17="",L17&lt;&gt;"Yes"),"",WORKDAY(B17,35))</f>
        <v/>
      </c>
      <c r="R17" s="23">
        <f>IF(OR(B17="",K17&lt;&gt;"Yes"),"",B17+30)</f>
        <v/>
      </c>
      <c r="S17" s="22" t="n"/>
      <c r="T17" s="23" t="n"/>
      <c r="U17" s="22" t="n"/>
      <c r="V17" s="22" t="n"/>
      <c r="W17" s="23" t="n"/>
      <c r="X17" s="22" t="n"/>
      <c r="Y17" s="22" t="n"/>
      <c r="Z17" s="22" t="n"/>
      <c r="AA17" s="22" t="n"/>
      <c r="AB17" s="22" t="n"/>
    </row>
    <row r="18" ht="24" customHeight="1">
      <c r="A18" s="22" t="inlineStr">
        <is>
          <t>CR-013</t>
        </is>
      </c>
      <c r="B18" s="23" t="n"/>
      <c r="C18" s="22" t="n"/>
      <c r="D18" s="22" t="n"/>
      <c r="E18" s="22" t="n"/>
      <c r="F18" s="22" t="n"/>
      <c r="G18" s="22" t="n"/>
      <c r="H18" s="22" t="n"/>
      <c r="I18" s="22" t="n"/>
      <c r="J18" s="22" t="n"/>
      <c r="K18" s="22" t="n"/>
      <c r="L18" s="22" t="n"/>
      <c r="M18" s="23" t="n"/>
      <c r="N18" s="23">
        <f>IF(B18="","",WORKDAY(B18,3))</f>
        <v/>
      </c>
      <c r="O18" s="23">
        <f>IF(B18="","",B18+56)</f>
        <v/>
      </c>
      <c r="P18" s="23">
        <f>IF(OR(B18="",L18&lt;&gt;"Yes"),"",WORKDAY(B18,15))</f>
        <v/>
      </c>
      <c r="Q18" s="23">
        <f>IF(OR(B18="",L18&lt;&gt;"Yes"),"",WORKDAY(B18,35))</f>
        <v/>
      </c>
      <c r="R18" s="23">
        <f>IF(OR(B18="",K18&lt;&gt;"Yes"),"",B18+30)</f>
        <v/>
      </c>
      <c r="S18" s="22" t="n"/>
      <c r="T18" s="23" t="n"/>
      <c r="U18" s="22" t="n"/>
      <c r="V18" s="22" t="n"/>
      <c r="W18" s="23" t="n"/>
      <c r="X18" s="22" t="n"/>
      <c r="Y18" s="22" t="n"/>
      <c r="Z18" s="22" t="n"/>
      <c r="AA18" s="22" t="n"/>
      <c r="AB18" s="22" t="n"/>
    </row>
    <row r="19" ht="24" customHeight="1">
      <c r="A19" s="22" t="inlineStr">
        <is>
          <t>CR-014</t>
        </is>
      </c>
      <c r="B19" s="23" t="n"/>
      <c r="C19" s="22" t="n"/>
      <c r="D19" s="22" t="n"/>
      <c r="E19" s="22" t="n"/>
      <c r="F19" s="22" t="n"/>
      <c r="G19" s="22" t="n"/>
      <c r="H19" s="22" t="n"/>
      <c r="I19" s="22" t="n"/>
      <c r="J19" s="22" t="n"/>
      <c r="K19" s="22" t="n"/>
      <c r="L19" s="22" t="n"/>
      <c r="M19" s="23" t="n"/>
      <c r="N19" s="23">
        <f>IF(B19="","",WORKDAY(B19,3))</f>
        <v/>
      </c>
      <c r="O19" s="23">
        <f>IF(B19="","",B19+56)</f>
        <v/>
      </c>
      <c r="P19" s="23">
        <f>IF(OR(B19="",L19&lt;&gt;"Yes"),"",WORKDAY(B19,15))</f>
        <v/>
      </c>
      <c r="Q19" s="23">
        <f>IF(OR(B19="",L19&lt;&gt;"Yes"),"",WORKDAY(B19,35))</f>
        <v/>
      </c>
      <c r="R19" s="23">
        <f>IF(OR(B19="",K19&lt;&gt;"Yes"),"",B19+30)</f>
        <v/>
      </c>
      <c r="S19" s="22" t="n"/>
      <c r="T19" s="23" t="n"/>
      <c r="U19" s="22" t="n"/>
      <c r="V19" s="22" t="n"/>
      <c r="W19" s="23" t="n"/>
      <c r="X19" s="22" t="n"/>
      <c r="Y19" s="22" t="n"/>
      <c r="Z19" s="22" t="n"/>
      <c r="AA19" s="22" t="n"/>
      <c r="AB19" s="22" t="n"/>
    </row>
    <row r="20" ht="24" customHeight="1">
      <c r="A20" s="22" t="inlineStr">
        <is>
          <t>CR-015</t>
        </is>
      </c>
      <c r="B20" s="23" t="n"/>
      <c r="C20" s="22" t="n"/>
      <c r="D20" s="22" t="n"/>
      <c r="E20" s="22" t="n"/>
      <c r="F20" s="22" t="n"/>
      <c r="G20" s="22" t="n"/>
      <c r="H20" s="22" t="n"/>
      <c r="I20" s="22" t="n"/>
      <c r="J20" s="22" t="n"/>
      <c r="K20" s="22" t="n"/>
      <c r="L20" s="22" t="n"/>
      <c r="M20" s="23" t="n"/>
      <c r="N20" s="23">
        <f>IF(B20="","",WORKDAY(B20,3))</f>
        <v/>
      </c>
      <c r="O20" s="23">
        <f>IF(B20="","",B20+56)</f>
        <v/>
      </c>
      <c r="P20" s="23">
        <f>IF(OR(B20="",L20&lt;&gt;"Yes"),"",WORKDAY(B20,15))</f>
        <v/>
      </c>
      <c r="Q20" s="23">
        <f>IF(OR(B20="",L20&lt;&gt;"Yes"),"",WORKDAY(B20,35))</f>
        <v/>
      </c>
      <c r="R20" s="23">
        <f>IF(OR(B20="",K20&lt;&gt;"Yes"),"",B20+30)</f>
        <v/>
      </c>
      <c r="S20" s="22" t="n"/>
      <c r="T20" s="23" t="n"/>
      <c r="U20" s="22" t="n"/>
      <c r="V20" s="22" t="n"/>
      <c r="W20" s="23" t="n"/>
      <c r="X20" s="22" t="n"/>
      <c r="Y20" s="22" t="n"/>
      <c r="Z20" s="22" t="n"/>
      <c r="AA20" s="22" t="n"/>
      <c r="AB20" s="22" t="n"/>
    </row>
    <row r="21" ht="24" customHeight="1">
      <c r="A21" s="22" t="inlineStr">
        <is>
          <t>CR-016</t>
        </is>
      </c>
      <c r="B21" s="23" t="n"/>
      <c r="C21" s="22" t="n"/>
      <c r="D21" s="22" t="n"/>
      <c r="E21" s="22" t="n"/>
      <c r="F21" s="22" t="n"/>
      <c r="G21" s="22" t="n"/>
      <c r="H21" s="22" t="n"/>
      <c r="I21" s="22" t="n"/>
      <c r="J21" s="22" t="n"/>
      <c r="K21" s="22" t="n"/>
      <c r="L21" s="22" t="n"/>
      <c r="M21" s="23" t="n"/>
      <c r="N21" s="23">
        <f>IF(B21="","",WORKDAY(B21,3))</f>
        <v/>
      </c>
      <c r="O21" s="23">
        <f>IF(B21="","",B21+56)</f>
        <v/>
      </c>
      <c r="P21" s="23">
        <f>IF(OR(B21="",L21&lt;&gt;"Yes"),"",WORKDAY(B21,15))</f>
        <v/>
      </c>
      <c r="Q21" s="23">
        <f>IF(OR(B21="",L21&lt;&gt;"Yes"),"",WORKDAY(B21,35))</f>
        <v/>
      </c>
      <c r="R21" s="23">
        <f>IF(OR(B21="",K21&lt;&gt;"Yes"),"",B21+30)</f>
        <v/>
      </c>
      <c r="S21" s="22" t="n"/>
      <c r="T21" s="23" t="n"/>
      <c r="U21" s="22" t="n"/>
      <c r="V21" s="22" t="n"/>
      <c r="W21" s="23" t="n"/>
      <c r="X21" s="22" t="n"/>
      <c r="Y21" s="22" t="n"/>
      <c r="Z21" s="22" t="n"/>
      <c r="AA21" s="22" t="n"/>
      <c r="AB21" s="22" t="n"/>
    </row>
    <row r="22" ht="24" customHeight="1">
      <c r="A22" s="22" t="inlineStr">
        <is>
          <t>CR-017</t>
        </is>
      </c>
      <c r="B22" s="23" t="n"/>
      <c r="C22" s="22" t="n"/>
      <c r="D22" s="22" t="n"/>
      <c r="E22" s="22" t="n"/>
      <c r="F22" s="22" t="n"/>
      <c r="G22" s="22" t="n"/>
      <c r="H22" s="22" t="n"/>
      <c r="I22" s="22" t="n"/>
      <c r="J22" s="22" t="n"/>
      <c r="K22" s="22" t="n"/>
      <c r="L22" s="22" t="n"/>
      <c r="M22" s="23" t="n"/>
      <c r="N22" s="23">
        <f>IF(B22="","",WORKDAY(B22,3))</f>
        <v/>
      </c>
      <c r="O22" s="23">
        <f>IF(B22="","",B22+56)</f>
        <v/>
      </c>
      <c r="P22" s="23">
        <f>IF(OR(B22="",L22&lt;&gt;"Yes"),"",WORKDAY(B22,15))</f>
        <v/>
      </c>
      <c r="Q22" s="23">
        <f>IF(OR(B22="",L22&lt;&gt;"Yes"),"",WORKDAY(B22,35))</f>
        <v/>
      </c>
      <c r="R22" s="23">
        <f>IF(OR(B22="",K22&lt;&gt;"Yes"),"",B22+30)</f>
        <v/>
      </c>
      <c r="S22" s="22" t="n"/>
      <c r="T22" s="23" t="n"/>
      <c r="U22" s="22" t="n"/>
      <c r="V22" s="22" t="n"/>
      <c r="W22" s="23" t="n"/>
      <c r="X22" s="22" t="n"/>
      <c r="Y22" s="22" t="n"/>
      <c r="Z22" s="22" t="n"/>
      <c r="AA22" s="22" t="n"/>
      <c r="AB22" s="22" t="n"/>
    </row>
    <row r="23" ht="24" customHeight="1">
      <c r="A23" s="22" t="inlineStr">
        <is>
          <t>CR-018</t>
        </is>
      </c>
      <c r="B23" s="23" t="n"/>
      <c r="C23" s="22" t="n"/>
      <c r="D23" s="22" t="n"/>
      <c r="E23" s="22" t="n"/>
      <c r="F23" s="22" t="n"/>
      <c r="G23" s="22" t="n"/>
      <c r="H23" s="22" t="n"/>
      <c r="I23" s="22" t="n"/>
      <c r="J23" s="22" t="n"/>
      <c r="K23" s="22" t="n"/>
      <c r="L23" s="22" t="n"/>
      <c r="M23" s="23" t="n"/>
      <c r="N23" s="23">
        <f>IF(B23="","",WORKDAY(B23,3))</f>
        <v/>
      </c>
      <c r="O23" s="23">
        <f>IF(B23="","",B23+56)</f>
        <v/>
      </c>
      <c r="P23" s="23">
        <f>IF(OR(B23="",L23&lt;&gt;"Yes"),"",WORKDAY(B23,15))</f>
        <v/>
      </c>
      <c r="Q23" s="23">
        <f>IF(OR(B23="",L23&lt;&gt;"Yes"),"",WORKDAY(B23,35))</f>
        <v/>
      </c>
      <c r="R23" s="23">
        <f>IF(OR(B23="",K23&lt;&gt;"Yes"),"",B23+30)</f>
        <v/>
      </c>
      <c r="S23" s="22" t="n"/>
      <c r="T23" s="23" t="n"/>
      <c r="U23" s="22" t="n"/>
      <c r="V23" s="22" t="n"/>
      <c r="W23" s="23" t="n"/>
      <c r="X23" s="22" t="n"/>
      <c r="Y23" s="22" t="n"/>
      <c r="Z23" s="22" t="n"/>
      <c r="AA23" s="22" t="n"/>
      <c r="AB23" s="22" t="n"/>
    </row>
    <row r="24" ht="24" customHeight="1">
      <c r="A24" s="22" t="inlineStr">
        <is>
          <t>CR-019</t>
        </is>
      </c>
      <c r="B24" s="23" t="n"/>
      <c r="C24" s="22" t="n"/>
      <c r="D24" s="22" t="n"/>
      <c r="E24" s="22" t="n"/>
      <c r="F24" s="22" t="n"/>
      <c r="G24" s="22" t="n"/>
      <c r="H24" s="22" t="n"/>
      <c r="I24" s="22" t="n"/>
      <c r="J24" s="22" t="n"/>
      <c r="K24" s="22" t="n"/>
      <c r="L24" s="22" t="n"/>
      <c r="M24" s="23" t="n"/>
      <c r="N24" s="23">
        <f>IF(B24="","",WORKDAY(B24,3))</f>
        <v/>
      </c>
      <c r="O24" s="23">
        <f>IF(B24="","",B24+56)</f>
        <v/>
      </c>
      <c r="P24" s="23">
        <f>IF(OR(B24="",L24&lt;&gt;"Yes"),"",WORKDAY(B24,15))</f>
        <v/>
      </c>
      <c r="Q24" s="23">
        <f>IF(OR(B24="",L24&lt;&gt;"Yes"),"",WORKDAY(B24,35))</f>
        <v/>
      </c>
      <c r="R24" s="23">
        <f>IF(OR(B24="",K24&lt;&gt;"Yes"),"",B24+30)</f>
        <v/>
      </c>
      <c r="S24" s="22" t="n"/>
      <c r="T24" s="23" t="n"/>
      <c r="U24" s="22" t="n"/>
      <c r="V24" s="22" t="n"/>
      <c r="W24" s="23" t="n"/>
      <c r="X24" s="22" t="n"/>
      <c r="Y24" s="22" t="n"/>
      <c r="Z24" s="22" t="n"/>
      <c r="AA24" s="22" t="n"/>
      <c r="AB24" s="22" t="n"/>
    </row>
    <row r="25" ht="24" customHeight="1">
      <c r="A25" s="22" t="inlineStr">
        <is>
          <t>CR-020</t>
        </is>
      </c>
      <c r="B25" s="23" t="n"/>
      <c r="C25" s="22" t="n"/>
      <c r="D25" s="22" t="n"/>
      <c r="E25" s="22" t="n"/>
      <c r="F25" s="22" t="n"/>
      <c r="G25" s="22" t="n"/>
      <c r="H25" s="22" t="n"/>
      <c r="I25" s="22" t="n"/>
      <c r="J25" s="22" t="n"/>
      <c r="K25" s="22" t="n"/>
      <c r="L25" s="22" t="n"/>
      <c r="M25" s="23" t="n"/>
      <c r="N25" s="23">
        <f>IF(B25="","",WORKDAY(B25,3))</f>
        <v/>
      </c>
      <c r="O25" s="23">
        <f>IF(B25="","",B25+56)</f>
        <v/>
      </c>
      <c r="P25" s="23">
        <f>IF(OR(B25="",L25&lt;&gt;"Yes"),"",WORKDAY(B25,15))</f>
        <v/>
      </c>
      <c r="Q25" s="23">
        <f>IF(OR(B25="",L25&lt;&gt;"Yes"),"",WORKDAY(B25,35))</f>
        <v/>
      </c>
      <c r="R25" s="23">
        <f>IF(OR(B25="",K25&lt;&gt;"Yes"),"",B25+30)</f>
        <v/>
      </c>
      <c r="S25" s="22" t="n"/>
      <c r="T25" s="23" t="n"/>
      <c r="U25" s="22" t="n"/>
      <c r="V25" s="22" t="n"/>
      <c r="W25" s="23" t="n"/>
      <c r="X25" s="22" t="n"/>
      <c r="Y25" s="22" t="n"/>
      <c r="Z25" s="22" t="n"/>
      <c r="AA25" s="22" t="n"/>
      <c r="AB25" s="22" t="n"/>
    </row>
    <row r="26" ht="24" customHeight="1">
      <c r="A26" s="22" t="inlineStr">
        <is>
          <t>CR-021</t>
        </is>
      </c>
      <c r="B26" s="23" t="n"/>
      <c r="C26" s="22" t="n"/>
      <c r="D26" s="22" t="n"/>
      <c r="E26" s="22" t="n"/>
      <c r="F26" s="22" t="n"/>
      <c r="G26" s="22" t="n"/>
      <c r="H26" s="22" t="n"/>
      <c r="I26" s="22" t="n"/>
      <c r="J26" s="22" t="n"/>
      <c r="K26" s="22" t="n"/>
      <c r="L26" s="22" t="n"/>
      <c r="M26" s="23" t="n"/>
      <c r="N26" s="23">
        <f>IF(B26="","",WORKDAY(B26,3))</f>
        <v/>
      </c>
      <c r="O26" s="23">
        <f>IF(B26="","",B26+56)</f>
        <v/>
      </c>
      <c r="P26" s="23">
        <f>IF(OR(B26="",L26&lt;&gt;"Yes"),"",WORKDAY(B26,15))</f>
        <v/>
      </c>
      <c r="Q26" s="23">
        <f>IF(OR(B26="",L26&lt;&gt;"Yes"),"",WORKDAY(B26,35))</f>
        <v/>
      </c>
      <c r="R26" s="23">
        <f>IF(OR(B26="",K26&lt;&gt;"Yes"),"",B26+30)</f>
        <v/>
      </c>
      <c r="S26" s="22" t="n"/>
      <c r="T26" s="23" t="n"/>
      <c r="U26" s="22" t="n"/>
      <c r="V26" s="22" t="n"/>
      <c r="W26" s="23" t="n"/>
      <c r="X26" s="22" t="n"/>
      <c r="Y26" s="22" t="n"/>
      <c r="Z26" s="22" t="n"/>
      <c r="AA26" s="22" t="n"/>
      <c r="AB26" s="22" t="n"/>
    </row>
    <row r="27" ht="24" customHeight="1">
      <c r="A27" s="22" t="inlineStr">
        <is>
          <t>CR-022</t>
        </is>
      </c>
      <c r="B27" s="23" t="n"/>
      <c r="C27" s="22" t="n"/>
      <c r="D27" s="22" t="n"/>
      <c r="E27" s="22" t="n"/>
      <c r="F27" s="22" t="n"/>
      <c r="G27" s="22" t="n"/>
      <c r="H27" s="22" t="n"/>
      <c r="I27" s="22" t="n"/>
      <c r="J27" s="22" t="n"/>
      <c r="K27" s="22" t="n"/>
      <c r="L27" s="22" t="n"/>
      <c r="M27" s="23" t="n"/>
      <c r="N27" s="23">
        <f>IF(B27="","",WORKDAY(B27,3))</f>
        <v/>
      </c>
      <c r="O27" s="23">
        <f>IF(B27="","",B27+56)</f>
        <v/>
      </c>
      <c r="P27" s="23">
        <f>IF(OR(B27="",L27&lt;&gt;"Yes"),"",WORKDAY(B27,15))</f>
        <v/>
      </c>
      <c r="Q27" s="23">
        <f>IF(OR(B27="",L27&lt;&gt;"Yes"),"",WORKDAY(B27,35))</f>
        <v/>
      </c>
      <c r="R27" s="23">
        <f>IF(OR(B27="",K27&lt;&gt;"Yes"),"",B27+30)</f>
        <v/>
      </c>
      <c r="S27" s="22" t="n"/>
      <c r="T27" s="23" t="n"/>
      <c r="U27" s="22" t="n"/>
      <c r="V27" s="22" t="n"/>
      <c r="W27" s="23" t="n"/>
      <c r="X27" s="22" t="n"/>
      <c r="Y27" s="22" t="n"/>
      <c r="Z27" s="22" t="n"/>
      <c r="AA27" s="22" t="n"/>
      <c r="AB27" s="22" t="n"/>
    </row>
    <row r="28" ht="24" customHeight="1">
      <c r="A28" s="22" t="inlineStr">
        <is>
          <t>CR-023</t>
        </is>
      </c>
      <c r="B28" s="23" t="n"/>
      <c r="C28" s="22" t="n"/>
      <c r="D28" s="22" t="n"/>
      <c r="E28" s="22" t="n"/>
      <c r="F28" s="22" t="n"/>
      <c r="G28" s="22" t="n"/>
      <c r="H28" s="22" t="n"/>
      <c r="I28" s="22" t="n"/>
      <c r="J28" s="22" t="n"/>
      <c r="K28" s="22" t="n"/>
      <c r="L28" s="22" t="n"/>
      <c r="M28" s="23" t="n"/>
      <c r="N28" s="23">
        <f>IF(B28="","",WORKDAY(B28,3))</f>
        <v/>
      </c>
      <c r="O28" s="23">
        <f>IF(B28="","",B28+56)</f>
        <v/>
      </c>
      <c r="P28" s="23">
        <f>IF(OR(B28="",L28&lt;&gt;"Yes"),"",WORKDAY(B28,15))</f>
        <v/>
      </c>
      <c r="Q28" s="23">
        <f>IF(OR(B28="",L28&lt;&gt;"Yes"),"",WORKDAY(B28,35))</f>
        <v/>
      </c>
      <c r="R28" s="23">
        <f>IF(OR(B28="",K28&lt;&gt;"Yes"),"",B28+30)</f>
        <v/>
      </c>
      <c r="S28" s="22" t="n"/>
      <c r="T28" s="23" t="n"/>
      <c r="U28" s="22" t="n"/>
      <c r="V28" s="22" t="n"/>
      <c r="W28" s="23" t="n"/>
      <c r="X28" s="22" t="n"/>
      <c r="Y28" s="22" t="n"/>
      <c r="Z28" s="22" t="n"/>
      <c r="AA28" s="22" t="n"/>
      <c r="AB28" s="22" t="n"/>
    </row>
    <row r="29" ht="24" customHeight="1">
      <c r="A29" s="22" t="inlineStr">
        <is>
          <t>CR-024</t>
        </is>
      </c>
      <c r="B29" s="23" t="n"/>
      <c r="C29" s="22" t="n"/>
      <c r="D29" s="22" t="n"/>
      <c r="E29" s="22" t="n"/>
      <c r="F29" s="22" t="n"/>
      <c r="G29" s="22" t="n"/>
      <c r="H29" s="22" t="n"/>
      <c r="I29" s="22" t="n"/>
      <c r="J29" s="22" t="n"/>
      <c r="K29" s="22" t="n"/>
      <c r="L29" s="22" t="n"/>
      <c r="M29" s="23" t="n"/>
      <c r="N29" s="23">
        <f>IF(B29="","",WORKDAY(B29,3))</f>
        <v/>
      </c>
      <c r="O29" s="23">
        <f>IF(B29="","",B29+56)</f>
        <v/>
      </c>
      <c r="P29" s="23">
        <f>IF(OR(B29="",L29&lt;&gt;"Yes"),"",WORKDAY(B29,15))</f>
        <v/>
      </c>
      <c r="Q29" s="23">
        <f>IF(OR(B29="",L29&lt;&gt;"Yes"),"",WORKDAY(B29,35))</f>
        <v/>
      </c>
      <c r="R29" s="23">
        <f>IF(OR(B29="",K29&lt;&gt;"Yes"),"",B29+30)</f>
        <v/>
      </c>
      <c r="S29" s="22" t="n"/>
      <c r="T29" s="23" t="n"/>
      <c r="U29" s="22" t="n"/>
      <c r="V29" s="22" t="n"/>
      <c r="W29" s="23" t="n"/>
      <c r="X29" s="22" t="n"/>
      <c r="Y29" s="22" t="n"/>
      <c r="Z29" s="22" t="n"/>
      <c r="AA29" s="22" t="n"/>
      <c r="AB29" s="22" t="n"/>
    </row>
    <row r="30" ht="24" customHeight="1">
      <c r="A30" s="22" t="inlineStr">
        <is>
          <t>CR-025</t>
        </is>
      </c>
      <c r="B30" s="23" t="n"/>
      <c r="C30" s="22" t="n"/>
      <c r="D30" s="22" t="n"/>
      <c r="E30" s="22" t="n"/>
      <c r="F30" s="22" t="n"/>
      <c r="G30" s="22" t="n"/>
      <c r="H30" s="22" t="n"/>
      <c r="I30" s="22" t="n"/>
      <c r="J30" s="22" t="n"/>
      <c r="K30" s="22" t="n"/>
      <c r="L30" s="22" t="n"/>
      <c r="M30" s="23" t="n"/>
      <c r="N30" s="23">
        <f>IF(B30="","",WORKDAY(B30,3))</f>
        <v/>
      </c>
      <c r="O30" s="23">
        <f>IF(B30="","",B30+56)</f>
        <v/>
      </c>
      <c r="P30" s="23">
        <f>IF(OR(B30="",L30&lt;&gt;"Yes"),"",WORKDAY(B30,15))</f>
        <v/>
      </c>
      <c r="Q30" s="23">
        <f>IF(OR(B30="",L30&lt;&gt;"Yes"),"",WORKDAY(B30,35))</f>
        <v/>
      </c>
      <c r="R30" s="23">
        <f>IF(OR(B30="",K30&lt;&gt;"Yes"),"",B30+30)</f>
        <v/>
      </c>
      <c r="S30" s="22" t="n"/>
      <c r="T30" s="23" t="n"/>
      <c r="U30" s="22" t="n"/>
      <c r="V30" s="22" t="n"/>
      <c r="W30" s="23" t="n"/>
      <c r="X30" s="22" t="n"/>
      <c r="Y30" s="22" t="n"/>
      <c r="Z30" s="22" t="n"/>
      <c r="AA30" s="22" t="n"/>
      <c r="AB30" s="22" t="n"/>
    </row>
    <row r="31" ht="24" customHeight="1">
      <c r="A31" s="22" t="inlineStr">
        <is>
          <t>CR-026</t>
        </is>
      </c>
      <c r="B31" s="23" t="n"/>
      <c r="C31" s="22" t="n"/>
      <c r="D31" s="22" t="n"/>
      <c r="E31" s="22" t="n"/>
      <c r="F31" s="22" t="n"/>
      <c r="G31" s="22" t="n"/>
      <c r="H31" s="22" t="n"/>
      <c r="I31" s="22" t="n"/>
      <c r="J31" s="22" t="n"/>
      <c r="K31" s="22" t="n"/>
      <c r="L31" s="22" t="n"/>
      <c r="M31" s="23" t="n"/>
      <c r="N31" s="23">
        <f>IF(B31="","",WORKDAY(B31,3))</f>
        <v/>
      </c>
      <c r="O31" s="23">
        <f>IF(B31="","",B31+56)</f>
        <v/>
      </c>
      <c r="P31" s="23">
        <f>IF(OR(B31="",L31&lt;&gt;"Yes"),"",WORKDAY(B31,15))</f>
        <v/>
      </c>
      <c r="Q31" s="23">
        <f>IF(OR(B31="",L31&lt;&gt;"Yes"),"",WORKDAY(B31,35))</f>
        <v/>
      </c>
      <c r="R31" s="23">
        <f>IF(OR(B31="",K31&lt;&gt;"Yes"),"",B31+30)</f>
        <v/>
      </c>
      <c r="S31" s="22" t="n"/>
      <c r="T31" s="23" t="n"/>
      <c r="U31" s="22" t="n"/>
      <c r="V31" s="22" t="n"/>
      <c r="W31" s="23" t="n"/>
      <c r="X31" s="22" t="n"/>
      <c r="Y31" s="22" t="n"/>
      <c r="Z31" s="22" t="n"/>
      <c r="AA31" s="22" t="n"/>
      <c r="AB31" s="22" t="n"/>
    </row>
    <row r="32" ht="24" customHeight="1">
      <c r="A32" s="22" t="inlineStr">
        <is>
          <t>CR-027</t>
        </is>
      </c>
      <c r="B32" s="23" t="n"/>
      <c r="C32" s="22" t="n"/>
      <c r="D32" s="22" t="n"/>
      <c r="E32" s="22" t="n"/>
      <c r="F32" s="22" t="n"/>
      <c r="G32" s="22" t="n"/>
      <c r="H32" s="22" t="n"/>
      <c r="I32" s="22" t="n"/>
      <c r="J32" s="22" t="n"/>
      <c r="K32" s="22" t="n"/>
      <c r="L32" s="22" t="n"/>
      <c r="M32" s="23" t="n"/>
      <c r="N32" s="23">
        <f>IF(B32="","",WORKDAY(B32,3))</f>
        <v/>
      </c>
      <c r="O32" s="23">
        <f>IF(B32="","",B32+56)</f>
        <v/>
      </c>
      <c r="P32" s="23">
        <f>IF(OR(B32="",L32&lt;&gt;"Yes"),"",WORKDAY(B32,15))</f>
        <v/>
      </c>
      <c r="Q32" s="23">
        <f>IF(OR(B32="",L32&lt;&gt;"Yes"),"",WORKDAY(B32,35))</f>
        <v/>
      </c>
      <c r="R32" s="23">
        <f>IF(OR(B32="",K32&lt;&gt;"Yes"),"",B32+30)</f>
        <v/>
      </c>
      <c r="S32" s="22" t="n"/>
      <c r="T32" s="23" t="n"/>
      <c r="U32" s="22" t="n"/>
      <c r="V32" s="22" t="n"/>
      <c r="W32" s="23" t="n"/>
      <c r="X32" s="22" t="n"/>
      <c r="Y32" s="22" t="n"/>
      <c r="Z32" s="22" t="n"/>
      <c r="AA32" s="22" t="n"/>
      <c r="AB32" s="22" t="n"/>
    </row>
    <row r="33" ht="24" customHeight="1">
      <c r="A33" s="22" t="inlineStr">
        <is>
          <t>CR-028</t>
        </is>
      </c>
      <c r="B33" s="23" t="n"/>
      <c r="C33" s="22" t="n"/>
      <c r="D33" s="22" t="n"/>
      <c r="E33" s="22" t="n"/>
      <c r="F33" s="22" t="n"/>
      <c r="G33" s="22" t="n"/>
      <c r="H33" s="22" t="n"/>
      <c r="I33" s="22" t="n"/>
      <c r="J33" s="22" t="n"/>
      <c r="K33" s="22" t="n"/>
      <c r="L33" s="22" t="n"/>
      <c r="M33" s="23" t="n"/>
      <c r="N33" s="23">
        <f>IF(B33="","",WORKDAY(B33,3))</f>
        <v/>
      </c>
      <c r="O33" s="23">
        <f>IF(B33="","",B33+56)</f>
        <v/>
      </c>
      <c r="P33" s="23">
        <f>IF(OR(B33="",L33&lt;&gt;"Yes"),"",WORKDAY(B33,15))</f>
        <v/>
      </c>
      <c r="Q33" s="23">
        <f>IF(OR(B33="",L33&lt;&gt;"Yes"),"",WORKDAY(B33,35))</f>
        <v/>
      </c>
      <c r="R33" s="23">
        <f>IF(OR(B33="",K33&lt;&gt;"Yes"),"",B33+30)</f>
        <v/>
      </c>
      <c r="S33" s="22" t="n"/>
      <c r="T33" s="23" t="n"/>
      <c r="U33" s="22" t="n"/>
      <c r="V33" s="22" t="n"/>
      <c r="W33" s="23" t="n"/>
      <c r="X33" s="22" t="n"/>
      <c r="Y33" s="22" t="n"/>
      <c r="Z33" s="22" t="n"/>
      <c r="AA33" s="22" t="n"/>
      <c r="AB33" s="22" t="n"/>
    </row>
    <row r="34" ht="24" customHeight="1">
      <c r="A34" s="22" t="inlineStr">
        <is>
          <t>CR-029</t>
        </is>
      </c>
      <c r="B34" s="23" t="n"/>
      <c r="C34" s="22" t="n"/>
      <c r="D34" s="22" t="n"/>
      <c r="E34" s="22" t="n"/>
      <c r="F34" s="22" t="n"/>
      <c r="G34" s="22" t="n"/>
      <c r="H34" s="22" t="n"/>
      <c r="I34" s="22" t="n"/>
      <c r="J34" s="22" t="n"/>
      <c r="K34" s="22" t="n"/>
      <c r="L34" s="22" t="n"/>
      <c r="M34" s="23" t="n"/>
      <c r="N34" s="23">
        <f>IF(B34="","",WORKDAY(B34,3))</f>
        <v/>
      </c>
      <c r="O34" s="23">
        <f>IF(B34="","",B34+56)</f>
        <v/>
      </c>
      <c r="P34" s="23">
        <f>IF(OR(B34="",L34&lt;&gt;"Yes"),"",WORKDAY(B34,15))</f>
        <v/>
      </c>
      <c r="Q34" s="23">
        <f>IF(OR(B34="",L34&lt;&gt;"Yes"),"",WORKDAY(B34,35))</f>
        <v/>
      </c>
      <c r="R34" s="23">
        <f>IF(OR(B34="",K34&lt;&gt;"Yes"),"",B34+30)</f>
        <v/>
      </c>
      <c r="S34" s="22" t="n"/>
      <c r="T34" s="23" t="n"/>
      <c r="U34" s="22" t="n"/>
      <c r="V34" s="22" t="n"/>
      <c r="W34" s="23" t="n"/>
      <c r="X34" s="22" t="n"/>
      <c r="Y34" s="22" t="n"/>
      <c r="Z34" s="22" t="n"/>
      <c r="AA34" s="22" t="n"/>
      <c r="AB34" s="22" t="n"/>
    </row>
    <row r="35" ht="24" customHeight="1">
      <c r="A35" s="22" t="inlineStr">
        <is>
          <t>CR-030</t>
        </is>
      </c>
      <c r="B35" s="23" t="n"/>
      <c r="C35" s="22" t="n"/>
      <c r="D35" s="22" t="n"/>
      <c r="E35" s="22" t="n"/>
      <c r="F35" s="22" t="n"/>
      <c r="G35" s="22" t="n"/>
      <c r="H35" s="22" t="n"/>
      <c r="I35" s="22" t="n"/>
      <c r="J35" s="22" t="n"/>
      <c r="K35" s="22" t="n"/>
      <c r="L35" s="22" t="n"/>
      <c r="M35" s="23" t="n"/>
      <c r="N35" s="23">
        <f>IF(B35="","",WORKDAY(B35,3))</f>
        <v/>
      </c>
      <c r="O35" s="23">
        <f>IF(B35="","",B35+56)</f>
        <v/>
      </c>
      <c r="P35" s="23">
        <f>IF(OR(B35="",L35&lt;&gt;"Yes"),"",WORKDAY(B35,15))</f>
        <v/>
      </c>
      <c r="Q35" s="23">
        <f>IF(OR(B35="",L35&lt;&gt;"Yes"),"",WORKDAY(B35,35))</f>
        <v/>
      </c>
      <c r="R35" s="23">
        <f>IF(OR(B35="",K35&lt;&gt;"Yes"),"",B35+30)</f>
        <v/>
      </c>
      <c r="S35" s="22" t="n"/>
      <c r="T35" s="23" t="n"/>
      <c r="U35" s="22" t="n"/>
      <c r="V35" s="22" t="n"/>
      <c r="W35" s="23" t="n"/>
      <c r="X35" s="22" t="n"/>
      <c r="Y35" s="22" t="n"/>
      <c r="Z35" s="22" t="n"/>
      <c r="AA35" s="22" t="n"/>
      <c r="AB35" s="22" t="n"/>
    </row>
    <row r="36" ht="24" customHeight="1">
      <c r="A36" s="22" t="inlineStr">
        <is>
          <t>CR-031</t>
        </is>
      </c>
      <c r="B36" s="23" t="n"/>
      <c r="C36" s="22" t="n"/>
      <c r="D36" s="22" t="n"/>
      <c r="E36" s="22" t="n"/>
      <c r="F36" s="22" t="n"/>
      <c r="G36" s="22" t="n"/>
      <c r="H36" s="22" t="n"/>
      <c r="I36" s="22" t="n"/>
      <c r="J36" s="22" t="n"/>
      <c r="K36" s="22" t="n"/>
      <c r="L36" s="22" t="n"/>
      <c r="M36" s="23" t="n"/>
      <c r="N36" s="23">
        <f>IF(B36="","",WORKDAY(B36,3))</f>
        <v/>
      </c>
      <c r="O36" s="23">
        <f>IF(B36="","",B36+56)</f>
        <v/>
      </c>
      <c r="P36" s="23">
        <f>IF(OR(B36="",L36&lt;&gt;"Yes"),"",WORKDAY(B36,15))</f>
        <v/>
      </c>
      <c r="Q36" s="23">
        <f>IF(OR(B36="",L36&lt;&gt;"Yes"),"",WORKDAY(B36,35))</f>
        <v/>
      </c>
      <c r="R36" s="23">
        <f>IF(OR(B36="",K36&lt;&gt;"Yes"),"",B36+30)</f>
        <v/>
      </c>
      <c r="S36" s="22" t="n"/>
      <c r="T36" s="23" t="n"/>
      <c r="U36" s="22" t="n"/>
      <c r="V36" s="22" t="n"/>
      <c r="W36" s="23" t="n"/>
      <c r="X36" s="22" t="n"/>
      <c r="Y36" s="22" t="n"/>
      <c r="Z36" s="22" t="n"/>
      <c r="AA36" s="22" t="n"/>
      <c r="AB36" s="22" t="n"/>
    </row>
    <row r="37" ht="24" customHeight="1">
      <c r="A37" s="22" t="inlineStr">
        <is>
          <t>CR-032</t>
        </is>
      </c>
      <c r="B37" s="23" t="n"/>
      <c r="C37" s="22" t="n"/>
      <c r="D37" s="22" t="n"/>
      <c r="E37" s="22" t="n"/>
      <c r="F37" s="22" t="n"/>
      <c r="G37" s="22" t="n"/>
      <c r="H37" s="22" t="n"/>
      <c r="I37" s="22" t="n"/>
      <c r="J37" s="22" t="n"/>
      <c r="K37" s="22" t="n"/>
      <c r="L37" s="22" t="n"/>
      <c r="M37" s="23" t="n"/>
      <c r="N37" s="23">
        <f>IF(B37="","",WORKDAY(B37,3))</f>
        <v/>
      </c>
      <c r="O37" s="23">
        <f>IF(B37="","",B37+56)</f>
        <v/>
      </c>
      <c r="P37" s="23">
        <f>IF(OR(B37="",L37&lt;&gt;"Yes"),"",WORKDAY(B37,15))</f>
        <v/>
      </c>
      <c r="Q37" s="23">
        <f>IF(OR(B37="",L37&lt;&gt;"Yes"),"",WORKDAY(B37,35))</f>
        <v/>
      </c>
      <c r="R37" s="23">
        <f>IF(OR(B37="",K37&lt;&gt;"Yes"),"",B37+30)</f>
        <v/>
      </c>
      <c r="S37" s="22" t="n"/>
      <c r="T37" s="23" t="n"/>
      <c r="U37" s="22" t="n"/>
      <c r="V37" s="22" t="n"/>
      <c r="W37" s="23" t="n"/>
      <c r="X37" s="22" t="n"/>
      <c r="Y37" s="22" t="n"/>
      <c r="Z37" s="22" t="n"/>
      <c r="AA37" s="22" t="n"/>
      <c r="AB37" s="22" t="n"/>
    </row>
    <row r="38" ht="24" customHeight="1">
      <c r="A38" s="22" t="inlineStr">
        <is>
          <t>CR-033</t>
        </is>
      </c>
      <c r="B38" s="23" t="n"/>
      <c r="C38" s="22" t="n"/>
      <c r="D38" s="22" t="n"/>
      <c r="E38" s="22" t="n"/>
      <c r="F38" s="22" t="n"/>
      <c r="G38" s="22" t="n"/>
      <c r="H38" s="22" t="n"/>
      <c r="I38" s="22" t="n"/>
      <c r="J38" s="22" t="n"/>
      <c r="K38" s="22" t="n"/>
      <c r="L38" s="22" t="n"/>
      <c r="M38" s="23" t="n"/>
      <c r="N38" s="23">
        <f>IF(B38="","",WORKDAY(B38,3))</f>
        <v/>
      </c>
      <c r="O38" s="23">
        <f>IF(B38="","",B38+56)</f>
        <v/>
      </c>
      <c r="P38" s="23">
        <f>IF(OR(B38="",L38&lt;&gt;"Yes"),"",WORKDAY(B38,15))</f>
        <v/>
      </c>
      <c r="Q38" s="23">
        <f>IF(OR(B38="",L38&lt;&gt;"Yes"),"",WORKDAY(B38,35))</f>
        <v/>
      </c>
      <c r="R38" s="23">
        <f>IF(OR(B38="",K38&lt;&gt;"Yes"),"",B38+30)</f>
        <v/>
      </c>
      <c r="S38" s="22" t="n"/>
      <c r="T38" s="23" t="n"/>
      <c r="U38" s="22" t="n"/>
      <c r="V38" s="22" t="n"/>
      <c r="W38" s="23" t="n"/>
      <c r="X38" s="22" t="n"/>
      <c r="Y38" s="22" t="n"/>
      <c r="Z38" s="22" t="n"/>
      <c r="AA38" s="22" t="n"/>
      <c r="AB38" s="22" t="n"/>
    </row>
    <row r="39" ht="24" customHeight="1">
      <c r="A39" s="22" t="inlineStr">
        <is>
          <t>CR-034</t>
        </is>
      </c>
      <c r="B39" s="23" t="n"/>
      <c r="C39" s="22" t="n"/>
      <c r="D39" s="22" t="n"/>
      <c r="E39" s="22" t="n"/>
      <c r="F39" s="22" t="n"/>
      <c r="G39" s="22" t="n"/>
      <c r="H39" s="22" t="n"/>
      <c r="I39" s="22" t="n"/>
      <c r="J39" s="22" t="n"/>
      <c r="K39" s="22" t="n"/>
      <c r="L39" s="22" t="n"/>
      <c r="M39" s="23" t="n"/>
      <c r="N39" s="23">
        <f>IF(B39="","",WORKDAY(B39,3))</f>
        <v/>
      </c>
      <c r="O39" s="23">
        <f>IF(B39="","",B39+56)</f>
        <v/>
      </c>
      <c r="P39" s="23">
        <f>IF(OR(B39="",L39&lt;&gt;"Yes"),"",WORKDAY(B39,15))</f>
        <v/>
      </c>
      <c r="Q39" s="23">
        <f>IF(OR(B39="",L39&lt;&gt;"Yes"),"",WORKDAY(B39,35))</f>
        <v/>
      </c>
      <c r="R39" s="23">
        <f>IF(OR(B39="",K39&lt;&gt;"Yes"),"",B39+30)</f>
        <v/>
      </c>
      <c r="S39" s="22" t="n"/>
      <c r="T39" s="23" t="n"/>
      <c r="U39" s="22" t="n"/>
      <c r="V39" s="22" t="n"/>
      <c r="W39" s="23" t="n"/>
      <c r="X39" s="22" t="n"/>
      <c r="Y39" s="22" t="n"/>
      <c r="Z39" s="22" t="n"/>
      <c r="AA39" s="22" t="n"/>
      <c r="AB39" s="22" t="n"/>
    </row>
    <row r="40" ht="24" customHeight="1">
      <c r="A40" s="22" t="inlineStr">
        <is>
          <t>CR-035</t>
        </is>
      </c>
      <c r="B40" s="23" t="n"/>
      <c r="C40" s="22" t="n"/>
      <c r="D40" s="22" t="n"/>
      <c r="E40" s="22" t="n"/>
      <c r="F40" s="22" t="n"/>
      <c r="G40" s="22" t="n"/>
      <c r="H40" s="22" t="n"/>
      <c r="I40" s="22" t="n"/>
      <c r="J40" s="22" t="n"/>
      <c r="K40" s="22" t="n"/>
      <c r="L40" s="22" t="n"/>
      <c r="M40" s="23" t="n"/>
      <c r="N40" s="23">
        <f>IF(B40="","",WORKDAY(B40,3))</f>
        <v/>
      </c>
      <c r="O40" s="23">
        <f>IF(B40="","",B40+56)</f>
        <v/>
      </c>
      <c r="P40" s="23">
        <f>IF(OR(B40="",L40&lt;&gt;"Yes"),"",WORKDAY(B40,15))</f>
        <v/>
      </c>
      <c r="Q40" s="23">
        <f>IF(OR(B40="",L40&lt;&gt;"Yes"),"",WORKDAY(B40,35))</f>
        <v/>
      </c>
      <c r="R40" s="23">
        <f>IF(OR(B40="",K40&lt;&gt;"Yes"),"",B40+30)</f>
        <v/>
      </c>
      <c r="S40" s="22" t="n"/>
      <c r="T40" s="23" t="n"/>
      <c r="U40" s="22" t="n"/>
      <c r="V40" s="22" t="n"/>
      <c r="W40" s="23" t="n"/>
      <c r="X40" s="22" t="n"/>
      <c r="Y40" s="22" t="n"/>
      <c r="Z40" s="22" t="n"/>
      <c r="AA40" s="22" t="n"/>
      <c r="AB40" s="22" t="n"/>
    </row>
    <row r="41" ht="24" customHeight="1">
      <c r="A41" s="22" t="inlineStr">
        <is>
          <t>CR-036</t>
        </is>
      </c>
      <c r="B41" s="23" t="n"/>
      <c r="C41" s="22" t="n"/>
      <c r="D41" s="22" t="n"/>
      <c r="E41" s="22" t="n"/>
      <c r="F41" s="22" t="n"/>
      <c r="G41" s="22" t="n"/>
      <c r="H41" s="22" t="n"/>
      <c r="I41" s="22" t="n"/>
      <c r="J41" s="22" t="n"/>
      <c r="K41" s="22" t="n"/>
      <c r="L41" s="22" t="n"/>
      <c r="M41" s="23" t="n"/>
      <c r="N41" s="23">
        <f>IF(B41="","",WORKDAY(B41,3))</f>
        <v/>
      </c>
      <c r="O41" s="23">
        <f>IF(B41="","",B41+56)</f>
        <v/>
      </c>
      <c r="P41" s="23">
        <f>IF(OR(B41="",L41&lt;&gt;"Yes"),"",WORKDAY(B41,15))</f>
        <v/>
      </c>
      <c r="Q41" s="23">
        <f>IF(OR(B41="",L41&lt;&gt;"Yes"),"",WORKDAY(B41,35))</f>
        <v/>
      </c>
      <c r="R41" s="23">
        <f>IF(OR(B41="",K41&lt;&gt;"Yes"),"",B41+30)</f>
        <v/>
      </c>
      <c r="S41" s="22" t="n"/>
      <c r="T41" s="23" t="n"/>
      <c r="U41" s="22" t="n"/>
      <c r="V41" s="22" t="n"/>
      <c r="W41" s="23" t="n"/>
      <c r="X41" s="22" t="n"/>
      <c r="Y41" s="22" t="n"/>
      <c r="Z41" s="22" t="n"/>
      <c r="AA41" s="22" t="n"/>
      <c r="AB41" s="22" t="n"/>
    </row>
    <row r="42" ht="24" customHeight="1">
      <c r="A42" s="22" t="inlineStr">
        <is>
          <t>CR-037</t>
        </is>
      </c>
      <c r="B42" s="23" t="n"/>
      <c r="C42" s="22" t="n"/>
      <c r="D42" s="22" t="n"/>
      <c r="E42" s="22" t="n"/>
      <c r="F42" s="22" t="n"/>
      <c r="G42" s="22" t="n"/>
      <c r="H42" s="22" t="n"/>
      <c r="I42" s="22" t="n"/>
      <c r="J42" s="22" t="n"/>
      <c r="K42" s="22" t="n"/>
      <c r="L42" s="22" t="n"/>
      <c r="M42" s="23" t="n"/>
      <c r="N42" s="23">
        <f>IF(B42="","",WORKDAY(B42,3))</f>
        <v/>
      </c>
      <c r="O42" s="23">
        <f>IF(B42="","",B42+56)</f>
        <v/>
      </c>
      <c r="P42" s="23">
        <f>IF(OR(B42="",L42&lt;&gt;"Yes"),"",WORKDAY(B42,15))</f>
        <v/>
      </c>
      <c r="Q42" s="23">
        <f>IF(OR(B42="",L42&lt;&gt;"Yes"),"",WORKDAY(B42,35))</f>
        <v/>
      </c>
      <c r="R42" s="23">
        <f>IF(OR(B42="",K42&lt;&gt;"Yes"),"",B42+30)</f>
        <v/>
      </c>
      <c r="S42" s="22" t="n"/>
      <c r="T42" s="23" t="n"/>
      <c r="U42" s="22" t="n"/>
      <c r="V42" s="22" t="n"/>
      <c r="W42" s="23" t="n"/>
      <c r="X42" s="22" t="n"/>
      <c r="Y42" s="22" t="n"/>
      <c r="Z42" s="22" t="n"/>
      <c r="AA42" s="22" t="n"/>
      <c r="AB42" s="22" t="n"/>
    </row>
    <row r="43" ht="24" customHeight="1">
      <c r="A43" s="22" t="inlineStr">
        <is>
          <t>CR-038</t>
        </is>
      </c>
      <c r="B43" s="23" t="n"/>
      <c r="C43" s="22" t="n"/>
      <c r="D43" s="22" t="n"/>
      <c r="E43" s="22" t="n"/>
      <c r="F43" s="22" t="n"/>
      <c r="G43" s="22" t="n"/>
      <c r="H43" s="22" t="n"/>
      <c r="I43" s="22" t="n"/>
      <c r="J43" s="22" t="n"/>
      <c r="K43" s="22" t="n"/>
      <c r="L43" s="22" t="n"/>
      <c r="M43" s="23" t="n"/>
      <c r="N43" s="23">
        <f>IF(B43="","",WORKDAY(B43,3))</f>
        <v/>
      </c>
      <c r="O43" s="23">
        <f>IF(B43="","",B43+56)</f>
        <v/>
      </c>
      <c r="P43" s="23">
        <f>IF(OR(B43="",L43&lt;&gt;"Yes"),"",WORKDAY(B43,15))</f>
        <v/>
      </c>
      <c r="Q43" s="23">
        <f>IF(OR(B43="",L43&lt;&gt;"Yes"),"",WORKDAY(B43,35))</f>
        <v/>
      </c>
      <c r="R43" s="23">
        <f>IF(OR(B43="",K43&lt;&gt;"Yes"),"",B43+30)</f>
        <v/>
      </c>
      <c r="S43" s="22" t="n"/>
      <c r="T43" s="23" t="n"/>
      <c r="U43" s="22" t="n"/>
      <c r="V43" s="22" t="n"/>
      <c r="W43" s="23" t="n"/>
      <c r="X43" s="22" t="n"/>
      <c r="Y43" s="22" t="n"/>
      <c r="Z43" s="22" t="n"/>
      <c r="AA43" s="22" t="n"/>
      <c r="AB43" s="22" t="n"/>
    </row>
    <row r="44" ht="24" customHeight="1">
      <c r="A44" s="22" t="inlineStr">
        <is>
          <t>CR-039</t>
        </is>
      </c>
      <c r="B44" s="23" t="n"/>
      <c r="C44" s="22" t="n"/>
      <c r="D44" s="22" t="n"/>
      <c r="E44" s="22" t="n"/>
      <c r="F44" s="22" t="n"/>
      <c r="G44" s="22" t="n"/>
      <c r="H44" s="22" t="n"/>
      <c r="I44" s="22" t="n"/>
      <c r="J44" s="22" t="n"/>
      <c r="K44" s="22" t="n"/>
      <c r="L44" s="22" t="n"/>
      <c r="M44" s="23" t="n"/>
      <c r="N44" s="23">
        <f>IF(B44="","",WORKDAY(B44,3))</f>
        <v/>
      </c>
      <c r="O44" s="23">
        <f>IF(B44="","",B44+56)</f>
        <v/>
      </c>
      <c r="P44" s="23">
        <f>IF(OR(B44="",L44&lt;&gt;"Yes"),"",WORKDAY(B44,15))</f>
        <v/>
      </c>
      <c r="Q44" s="23">
        <f>IF(OR(B44="",L44&lt;&gt;"Yes"),"",WORKDAY(B44,35))</f>
        <v/>
      </c>
      <c r="R44" s="23">
        <f>IF(OR(B44="",K44&lt;&gt;"Yes"),"",B44+30)</f>
        <v/>
      </c>
      <c r="S44" s="22" t="n"/>
      <c r="T44" s="23" t="n"/>
      <c r="U44" s="22" t="n"/>
      <c r="V44" s="22" t="n"/>
      <c r="W44" s="23" t="n"/>
      <c r="X44" s="22" t="n"/>
      <c r="Y44" s="22" t="n"/>
      <c r="Z44" s="22" t="n"/>
      <c r="AA44" s="22" t="n"/>
      <c r="AB44" s="22" t="n"/>
    </row>
    <row r="45" ht="24" customHeight="1">
      <c r="A45" s="22" t="inlineStr">
        <is>
          <t>CR-040</t>
        </is>
      </c>
      <c r="B45" s="23" t="n"/>
      <c r="C45" s="22" t="n"/>
      <c r="D45" s="22" t="n"/>
      <c r="E45" s="22" t="n"/>
      <c r="F45" s="22" t="n"/>
      <c r="G45" s="22" t="n"/>
      <c r="H45" s="22" t="n"/>
      <c r="I45" s="22" t="n"/>
      <c r="J45" s="22" t="n"/>
      <c r="K45" s="22" t="n"/>
      <c r="L45" s="22" t="n"/>
      <c r="M45" s="23" t="n"/>
      <c r="N45" s="23">
        <f>IF(B45="","",WORKDAY(B45,3))</f>
        <v/>
      </c>
      <c r="O45" s="23">
        <f>IF(B45="","",B45+56)</f>
        <v/>
      </c>
      <c r="P45" s="23">
        <f>IF(OR(B45="",L45&lt;&gt;"Yes"),"",WORKDAY(B45,15))</f>
        <v/>
      </c>
      <c r="Q45" s="23">
        <f>IF(OR(B45="",L45&lt;&gt;"Yes"),"",WORKDAY(B45,35))</f>
        <v/>
      </c>
      <c r="R45" s="23">
        <f>IF(OR(B45="",K45&lt;&gt;"Yes"),"",B45+30)</f>
        <v/>
      </c>
      <c r="S45" s="22" t="n"/>
      <c r="T45" s="23" t="n"/>
      <c r="U45" s="22" t="n"/>
      <c r="V45" s="22" t="n"/>
      <c r="W45" s="23" t="n"/>
      <c r="X45" s="22" t="n"/>
      <c r="Y45" s="22" t="n"/>
      <c r="Z45" s="22" t="n"/>
      <c r="AA45" s="22" t="n"/>
      <c r="AB45" s="22" t="n"/>
    </row>
    <row r="46" ht="24" customHeight="1">
      <c r="A46" s="22" t="inlineStr">
        <is>
          <t>CR-041</t>
        </is>
      </c>
      <c r="B46" s="23" t="n"/>
      <c r="C46" s="22" t="n"/>
      <c r="D46" s="22" t="n"/>
      <c r="E46" s="22" t="n"/>
      <c r="F46" s="22" t="n"/>
      <c r="G46" s="22" t="n"/>
      <c r="H46" s="22" t="n"/>
      <c r="I46" s="22" t="n"/>
      <c r="J46" s="22" t="n"/>
      <c r="K46" s="22" t="n"/>
      <c r="L46" s="22" t="n"/>
      <c r="M46" s="23" t="n"/>
      <c r="N46" s="23">
        <f>IF(B46="","",WORKDAY(B46,3))</f>
        <v/>
      </c>
      <c r="O46" s="23">
        <f>IF(B46="","",B46+56)</f>
        <v/>
      </c>
      <c r="P46" s="23">
        <f>IF(OR(B46="",L46&lt;&gt;"Yes"),"",WORKDAY(B46,15))</f>
        <v/>
      </c>
      <c r="Q46" s="23">
        <f>IF(OR(B46="",L46&lt;&gt;"Yes"),"",WORKDAY(B46,35))</f>
        <v/>
      </c>
      <c r="R46" s="23">
        <f>IF(OR(B46="",K46&lt;&gt;"Yes"),"",B46+30)</f>
        <v/>
      </c>
      <c r="S46" s="22" t="n"/>
      <c r="T46" s="23" t="n"/>
      <c r="U46" s="22" t="n"/>
      <c r="V46" s="22" t="n"/>
      <c r="W46" s="23" t="n"/>
      <c r="X46" s="22" t="n"/>
      <c r="Y46" s="22" t="n"/>
      <c r="Z46" s="22" t="n"/>
      <c r="AA46" s="22" t="n"/>
      <c r="AB46" s="22" t="n"/>
    </row>
    <row r="47" ht="24" customHeight="1">
      <c r="A47" s="22" t="inlineStr">
        <is>
          <t>CR-042</t>
        </is>
      </c>
      <c r="B47" s="23" t="n"/>
      <c r="C47" s="22" t="n"/>
      <c r="D47" s="22" t="n"/>
      <c r="E47" s="22" t="n"/>
      <c r="F47" s="22" t="n"/>
      <c r="G47" s="22" t="n"/>
      <c r="H47" s="22" t="n"/>
      <c r="I47" s="22" t="n"/>
      <c r="J47" s="22" t="n"/>
      <c r="K47" s="22" t="n"/>
      <c r="L47" s="22" t="n"/>
      <c r="M47" s="23" t="n"/>
      <c r="N47" s="23">
        <f>IF(B47="","",WORKDAY(B47,3))</f>
        <v/>
      </c>
      <c r="O47" s="23">
        <f>IF(B47="","",B47+56)</f>
        <v/>
      </c>
      <c r="P47" s="23">
        <f>IF(OR(B47="",L47&lt;&gt;"Yes"),"",WORKDAY(B47,15))</f>
        <v/>
      </c>
      <c r="Q47" s="23">
        <f>IF(OR(B47="",L47&lt;&gt;"Yes"),"",WORKDAY(B47,35))</f>
        <v/>
      </c>
      <c r="R47" s="23">
        <f>IF(OR(B47="",K47&lt;&gt;"Yes"),"",B47+30)</f>
        <v/>
      </c>
      <c r="S47" s="22" t="n"/>
      <c r="T47" s="23" t="n"/>
      <c r="U47" s="22" t="n"/>
      <c r="V47" s="22" t="n"/>
      <c r="W47" s="23" t="n"/>
      <c r="X47" s="22" t="n"/>
      <c r="Y47" s="22" t="n"/>
      <c r="Z47" s="22" t="n"/>
      <c r="AA47" s="22" t="n"/>
      <c r="AB47" s="22" t="n"/>
    </row>
    <row r="48" ht="24" customHeight="1">
      <c r="A48" s="22" t="inlineStr">
        <is>
          <t>CR-043</t>
        </is>
      </c>
      <c r="B48" s="23" t="n"/>
      <c r="C48" s="22" t="n"/>
      <c r="D48" s="22" t="n"/>
      <c r="E48" s="22" t="n"/>
      <c r="F48" s="22" t="n"/>
      <c r="G48" s="22" t="n"/>
      <c r="H48" s="22" t="n"/>
      <c r="I48" s="22" t="n"/>
      <c r="J48" s="22" t="n"/>
      <c r="K48" s="22" t="n"/>
      <c r="L48" s="22" t="n"/>
      <c r="M48" s="23" t="n"/>
      <c r="N48" s="23">
        <f>IF(B48="","",WORKDAY(B48,3))</f>
        <v/>
      </c>
      <c r="O48" s="23">
        <f>IF(B48="","",B48+56)</f>
        <v/>
      </c>
      <c r="P48" s="23">
        <f>IF(OR(B48="",L48&lt;&gt;"Yes"),"",WORKDAY(B48,15))</f>
        <v/>
      </c>
      <c r="Q48" s="23">
        <f>IF(OR(B48="",L48&lt;&gt;"Yes"),"",WORKDAY(B48,35))</f>
        <v/>
      </c>
      <c r="R48" s="23">
        <f>IF(OR(B48="",K48&lt;&gt;"Yes"),"",B48+30)</f>
        <v/>
      </c>
      <c r="S48" s="22" t="n"/>
      <c r="T48" s="23" t="n"/>
      <c r="U48" s="22" t="n"/>
      <c r="V48" s="22" t="n"/>
      <c r="W48" s="23" t="n"/>
      <c r="X48" s="22" t="n"/>
      <c r="Y48" s="22" t="n"/>
      <c r="Z48" s="22" t="n"/>
      <c r="AA48" s="22" t="n"/>
      <c r="AB48" s="22" t="n"/>
    </row>
    <row r="49" ht="24" customHeight="1">
      <c r="A49" s="22" t="inlineStr">
        <is>
          <t>CR-044</t>
        </is>
      </c>
      <c r="B49" s="23" t="n"/>
      <c r="C49" s="22" t="n"/>
      <c r="D49" s="22" t="n"/>
      <c r="E49" s="22" t="n"/>
      <c r="F49" s="22" t="n"/>
      <c r="G49" s="22" t="n"/>
      <c r="H49" s="22" t="n"/>
      <c r="I49" s="22" t="n"/>
      <c r="J49" s="22" t="n"/>
      <c r="K49" s="22" t="n"/>
      <c r="L49" s="22" t="n"/>
      <c r="M49" s="23" t="n"/>
      <c r="N49" s="23">
        <f>IF(B49="","",WORKDAY(B49,3))</f>
        <v/>
      </c>
      <c r="O49" s="23">
        <f>IF(B49="","",B49+56)</f>
        <v/>
      </c>
      <c r="P49" s="23">
        <f>IF(OR(B49="",L49&lt;&gt;"Yes"),"",WORKDAY(B49,15))</f>
        <v/>
      </c>
      <c r="Q49" s="23">
        <f>IF(OR(B49="",L49&lt;&gt;"Yes"),"",WORKDAY(B49,35))</f>
        <v/>
      </c>
      <c r="R49" s="23">
        <f>IF(OR(B49="",K49&lt;&gt;"Yes"),"",B49+30)</f>
        <v/>
      </c>
      <c r="S49" s="22" t="n"/>
      <c r="T49" s="23" t="n"/>
      <c r="U49" s="22" t="n"/>
      <c r="V49" s="22" t="n"/>
      <c r="W49" s="23" t="n"/>
      <c r="X49" s="22" t="n"/>
      <c r="Y49" s="22" t="n"/>
      <c r="Z49" s="22" t="n"/>
      <c r="AA49" s="22" t="n"/>
      <c r="AB49" s="22" t="n"/>
    </row>
    <row r="50" ht="24" customHeight="1">
      <c r="A50" s="22" t="inlineStr">
        <is>
          <t>CR-045</t>
        </is>
      </c>
      <c r="B50" s="23" t="n"/>
      <c r="C50" s="22" t="n"/>
      <c r="D50" s="22" t="n"/>
      <c r="E50" s="22" t="n"/>
      <c r="F50" s="22" t="n"/>
      <c r="G50" s="22" t="n"/>
      <c r="H50" s="22" t="n"/>
      <c r="I50" s="22" t="n"/>
      <c r="J50" s="22" t="n"/>
      <c r="K50" s="22" t="n"/>
      <c r="L50" s="22" t="n"/>
      <c r="M50" s="23" t="n"/>
      <c r="N50" s="23">
        <f>IF(B50="","",WORKDAY(B50,3))</f>
        <v/>
      </c>
      <c r="O50" s="23">
        <f>IF(B50="","",B50+56)</f>
        <v/>
      </c>
      <c r="P50" s="23">
        <f>IF(OR(B50="",L50&lt;&gt;"Yes"),"",WORKDAY(B50,15))</f>
        <v/>
      </c>
      <c r="Q50" s="23">
        <f>IF(OR(B50="",L50&lt;&gt;"Yes"),"",WORKDAY(B50,35))</f>
        <v/>
      </c>
      <c r="R50" s="23">
        <f>IF(OR(B50="",K50&lt;&gt;"Yes"),"",B50+30)</f>
        <v/>
      </c>
      <c r="S50" s="22" t="n"/>
      <c r="T50" s="23" t="n"/>
      <c r="U50" s="22" t="n"/>
      <c r="V50" s="22" t="n"/>
      <c r="W50" s="23" t="n"/>
      <c r="X50" s="22" t="n"/>
      <c r="Y50" s="22" t="n"/>
      <c r="Z50" s="22" t="n"/>
      <c r="AA50" s="22" t="n"/>
      <c r="AB50" s="22" t="n"/>
    </row>
    <row r="51" ht="24" customHeight="1">
      <c r="A51" s="22" t="inlineStr">
        <is>
          <t>CR-046</t>
        </is>
      </c>
      <c r="B51" s="23" t="n"/>
      <c r="C51" s="22" t="n"/>
      <c r="D51" s="22" t="n"/>
      <c r="E51" s="22" t="n"/>
      <c r="F51" s="22" t="n"/>
      <c r="G51" s="22" t="n"/>
      <c r="H51" s="22" t="n"/>
      <c r="I51" s="22" t="n"/>
      <c r="J51" s="22" t="n"/>
      <c r="K51" s="22" t="n"/>
      <c r="L51" s="22" t="n"/>
      <c r="M51" s="23" t="n"/>
      <c r="N51" s="23">
        <f>IF(B51="","",WORKDAY(B51,3))</f>
        <v/>
      </c>
      <c r="O51" s="23">
        <f>IF(B51="","",B51+56)</f>
        <v/>
      </c>
      <c r="P51" s="23">
        <f>IF(OR(B51="",L51&lt;&gt;"Yes"),"",WORKDAY(B51,15))</f>
        <v/>
      </c>
      <c r="Q51" s="23">
        <f>IF(OR(B51="",L51&lt;&gt;"Yes"),"",WORKDAY(B51,35))</f>
        <v/>
      </c>
      <c r="R51" s="23">
        <f>IF(OR(B51="",K51&lt;&gt;"Yes"),"",B51+30)</f>
        <v/>
      </c>
      <c r="S51" s="22" t="n"/>
      <c r="T51" s="23" t="n"/>
      <c r="U51" s="22" t="n"/>
      <c r="V51" s="22" t="n"/>
      <c r="W51" s="23" t="n"/>
      <c r="X51" s="22" t="n"/>
      <c r="Y51" s="22" t="n"/>
      <c r="Z51" s="22" t="n"/>
      <c r="AA51" s="22" t="n"/>
      <c r="AB51" s="22" t="n"/>
    </row>
    <row r="52" ht="24" customHeight="1">
      <c r="A52" s="22" t="inlineStr">
        <is>
          <t>CR-047</t>
        </is>
      </c>
      <c r="B52" s="23" t="n"/>
      <c r="C52" s="22" t="n"/>
      <c r="D52" s="22" t="n"/>
      <c r="E52" s="22" t="n"/>
      <c r="F52" s="22" t="n"/>
      <c r="G52" s="22" t="n"/>
      <c r="H52" s="22" t="n"/>
      <c r="I52" s="22" t="n"/>
      <c r="J52" s="22" t="n"/>
      <c r="K52" s="22" t="n"/>
      <c r="L52" s="22" t="n"/>
      <c r="M52" s="23" t="n"/>
      <c r="N52" s="23">
        <f>IF(B52="","",WORKDAY(B52,3))</f>
        <v/>
      </c>
      <c r="O52" s="23">
        <f>IF(B52="","",B52+56)</f>
        <v/>
      </c>
      <c r="P52" s="23">
        <f>IF(OR(B52="",L52&lt;&gt;"Yes"),"",WORKDAY(B52,15))</f>
        <v/>
      </c>
      <c r="Q52" s="23">
        <f>IF(OR(B52="",L52&lt;&gt;"Yes"),"",WORKDAY(B52,35))</f>
        <v/>
      </c>
      <c r="R52" s="23">
        <f>IF(OR(B52="",K52&lt;&gt;"Yes"),"",B52+30)</f>
        <v/>
      </c>
      <c r="S52" s="22" t="n"/>
      <c r="T52" s="23" t="n"/>
      <c r="U52" s="22" t="n"/>
      <c r="V52" s="22" t="n"/>
      <c r="W52" s="23" t="n"/>
      <c r="X52" s="22" t="n"/>
      <c r="Y52" s="22" t="n"/>
      <c r="Z52" s="22" t="n"/>
      <c r="AA52" s="22" t="n"/>
      <c r="AB52" s="22" t="n"/>
    </row>
    <row r="53" ht="24" customHeight="1">
      <c r="A53" s="22" t="inlineStr">
        <is>
          <t>CR-048</t>
        </is>
      </c>
      <c r="B53" s="23" t="n"/>
      <c r="C53" s="22" t="n"/>
      <c r="D53" s="22" t="n"/>
      <c r="E53" s="22" t="n"/>
      <c r="F53" s="22" t="n"/>
      <c r="G53" s="22" t="n"/>
      <c r="H53" s="22" t="n"/>
      <c r="I53" s="22" t="n"/>
      <c r="J53" s="22" t="n"/>
      <c r="K53" s="22" t="n"/>
      <c r="L53" s="22" t="n"/>
      <c r="M53" s="23" t="n"/>
      <c r="N53" s="23">
        <f>IF(B53="","",WORKDAY(B53,3))</f>
        <v/>
      </c>
      <c r="O53" s="23">
        <f>IF(B53="","",B53+56)</f>
        <v/>
      </c>
      <c r="P53" s="23">
        <f>IF(OR(B53="",L53&lt;&gt;"Yes"),"",WORKDAY(B53,15))</f>
        <v/>
      </c>
      <c r="Q53" s="23">
        <f>IF(OR(B53="",L53&lt;&gt;"Yes"),"",WORKDAY(B53,35))</f>
        <v/>
      </c>
      <c r="R53" s="23">
        <f>IF(OR(B53="",K53&lt;&gt;"Yes"),"",B53+30)</f>
        <v/>
      </c>
      <c r="S53" s="22" t="n"/>
      <c r="T53" s="23" t="n"/>
      <c r="U53" s="22" t="n"/>
      <c r="V53" s="22" t="n"/>
      <c r="W53" s="23" t="n"/>
      <c r="X53" s="22" t="n"/>
      <c r="Y53" s="22" t="n"/>
      <c r="Z53" s="22" t="n"/>
      <c r="AA53" s="22" t="n"/>
      <c r="AB53" s="22" t="n"/>
    </row>
    <row r="54" ht="24" customHeight="1">
      <c r="A54" s="22" t="inlineStr">
        <is>
          <t>CR-049</t>
        </is>
      </c>
      <c r="B54" s="23" t="n"/>
      <c r="C54" s="22" t="n"/>
      <c r="D54" s="22" t="n"/>
      <c r="E54" s="22" t="n"/>
      <c r="F54" s="22" t="n"/>
      <c r="G54" s="22" t="n"/>
      <c r="H54" s="22" t="n"/>
      <c r="I54" s="22" t="n"/>
      <c r="J54" s="22" t="n"/>
      <c r="K54" s="22" t="n"/>
      <c r="L54" s="22" t="n"/>
      <c r="M54" s="23" t="n"/>
      <c r="N54" s="23">
        <f>IF(B54="","",WORKDAY(B54,3))</f>
        <v/>
      </c>
      <c r="O54" s="23">
        <f>IF(B54="","",B54+56)</f>
        <v/>
      </c>
      <c r="P54" s="23">
        <f>IF(OR(B54="",L54&lt;&gt;"Yes"),"",WORKDAY(B54,15))</f>
        <v/>
      </c>
      <c r="Q54" s="23">
        <f>IF(OR(B54="",L54&lt;&gt;"Yes"),"",WORKDAY(B54,35))</f>
        <v/>
      </c>
      <c r="R54" s="23">
        <f>IF(OR(B54="",K54&lt;&gt;"Yes"),"",B54+30)</f>
        <v/>
      </c>
      <c r="S54" s="22" t="n"/>
      <c r="T54" s="23" t="n"/>
      <c r="U54" s="22" t="n"/>
      <c r="V54" s="22" t="n"/>
      <c r="W54" s="23" t="n"/>
      <c r="X54" s="22" t="n"/>
      <c r="Y54" s="22" t="n"/>
      <c r="Z54" s="22" t="n"/>
      <c r="AA54" s="22" t="n"/>
      <c r="AB54" s="22" t="n"/>
    </row>
    <row r="55" ht="24" customHeight="1">
      <c r="A55" s="22" t="inlineStr">
        <is>
          <t>CR-050</t>
        </is>
      </c>
      <c r="B55" s="23" t="n"/>
      <c r="C55" s="22" t="n"/>
      <c r="D55" s="22" t="n"/>
      <c r="E55" s="22" t="n"/>
      <c r="F55" s="22" t="n"/>
      <c r="G55" s="22" t="n"/>
      <c r="H55" s="22" t="n"/>
      <c r="I55" s="22" t="n"/>
      <c r="J55" s="22" t="n"/>
      <c r="K55" s="22" t="n"/>
      <c r="L55" s="22" t="n"/>
      <c r="M55" s="23" t="n"/>
      <c r="N55" s="23">
        <f>IF(B55="","",WORKDAY(B55,3))</f>
        <v/>
      </c>
      <c r="O55" s="23">
        <f>IF(B55="","",B55+56)</f>
        <v/>
      </c>
      <c r="P55" s="23">
        <f>IF(OR(B55="",L55&lt;&gt;"Yes"),"",WORKDAY(B55,15))</f>
        <v/>
      </c>
      <c r="Q55" s="23">
        <f>IF(OR(B55="",L55&lt;&gt;"Yes"),"",WORKDAY(B55,35))</f>
        <v/>
      </c>
      <c r="R55" s="23">
        <f>IF(OR(B55="",K55&lt;&gt;"Yes"),"",B55+30)</f>
        <v/>
      </c>
      <c r="S55" s="22" t="n"/>
      <c r="T55" s="23" t="n"/>
      <c r="U55" s="22" t="n"/>
      <c r="V55" s="22" t="n"/>
      <c r="W55" s="23" t="n"/>
      <c r="X55" s="22" t="n"/>
      <c r="Y55" s="22" t="n"/>
      <c r="Z55" s="22" t="n"/>
      <c r="AA55" s="22" t="n"/>
      <c r="AB55" s="22" t="n"/>
    </row>
    <row r="56" ht="24" customHeight="1">
      <c r="A56" s="22" t="inlineStr">
        <is>
          <t>CR-051</t>
        </is>
      </c>
      <c r="B56" s="23" t="n"/>
      <c r="C56" s="22" t="n"/>
      <c r="D56" s="22" t="n"/>
      <c r="E56" s="22" t="n"/>
      <c r="F56" s="22" t="n"/>
      <c r="G56" s="22" t="n"/>
      <c r="H56" s="22" t="n"/>
      <c r="I56" s="22" t="n"/>
      <c r="J56" s="22" t="n"/>
      <c r="K56" s="22" t="n"/>
      <c r="L56" s="22" t="n"/>
      <c r="M56" s="23" t="n"/>
      <c r="N56" s="23">
        <f>IF(B56="","",WORKDAY(B56,3))</f>
        <v/>
      </c>
      <c r="O56" s="23">
        <f>IF(B56="","",B56+56)</f>
        <v/>
      </c>
      <c r="P56" s="23">
        <f>IF(OR(B56="",L56&lt;&gt;"Yes"),"",WORKDAY(B56,15))</f>
        <v/>
      </c>
      <c r="Q56" s="23">
        <f>IF(OR(B56="",L56&lt;&gt;"Yes"),"",WORKDAY(B56,35))</f>
        <v/>
      </c>
      <c r="R56" s="23">
        <f>IF(OR(B56="",K56&lt;&gt;"Yes"),"",B56+30)</f>
        <v/>
      </c>
      <c r="S56" s="22" t="n"/>
      <c r="T56" s="23" t="n"/>
      <c r="U56" s="22" t="n"/>
      <c r="V56" s="22" t="n"/>
      <c r="W56" s="23" t="n"/>
      <c r="X56" s="22" t="n"/>
      <c r="Y56" s="22" t="n"/>
      <c r="Z56" s="22" t="n"/>
      <c r="AA56" s="22" t="n"/>
      <c r="AB56" s="22" t="n"/>
    </row>
    <row r="57" ht="24" customHeight="1">
      <c r="A57" s="22" t="inlineStr">
        <is>
          <t>CR-052</t>
        </is>
      </c>
      <c r="B57" s="23" t="n"/>
      <c r="C57" s="22" t="n"/>
      <c r="D57" s="22" t="n"/>
      <c r="E57" s="22" t="n"/>
      <c r="F57" s="22" t="n"/>
      <c r="G57" s="22" t="n"/>
      <c r="H57" s="22" t="n"/>
      <c r="I57" s="22" t="n"/>
      <c r="J57" s="22" t="n"/>
      <c r="K57" s="22" t="n"/>
      <c r="L57" s="22" t="n"/>
      <c r="M57" s="23" t="n"/>
      <c r="N57" s="23">
        <f>IF(B57="","",WORKDAY(B57,3))</f>
        <v/>
      </c>
      <c r="O57" s="23">
        <f>IF(B57="","",B57+56)</f>
        <v/>
      </c>
      <c r="P57" s="23">
        <f>IF(OR(B57="",L57&lt;&gt;"Yes"),"",WORKDAY(B57,15))</f>
        <v/>
      </c>
      <c r="Q57" s="23">
        <f>IF(OR(B57="",L57&lt;&gt;"Yes"),"",WORKDAY(B57,35))</f>
        <v/>
      </c>
      <c r="R57" s="23">
        <f>IF(OR(B57="",K57&lt;&gt;"Yes"),"",B57+30)</f>
        <v/>
      </c>
      <c r="S57" s="22" t="n"/>
      <c r="T57" s="23" t="n"/>
      <c r="U57" s="22" t="n"/>
      <c r="V57" s="22" t="n"/>
      <c r="W57" s="23" t="n"/>
      <c r="X57" s="22" t="n"/>
      <c r="Y57" s="22" t="n"/>
      <c r="Z57" s="22" t="n"/>
      <c r="AA57" s="22" t="n"/>
      <c r="AB57" s="22" t="n"/>
    </row>
    <row r="58" ht="24" customHeight="1">
      <c r="A58" s="22" t="inlineStr">
        <is>
          <t>CR-053</t>
        </is>
      </c>
      <c r="B58" s="23" t="n"/>
      <c r="C58" s="22" t="n"/>
      <c r="D58" s="22" t="n"/>
      <c r="E58" s="22" t="n"/>
      <c r="F58" s="22" t="n"/>
      <c r="G58" s="22" t="n"/>
      <c r="H58" s="22" t="n"/>
      <c r="I58" s="22" t="n"/>
      <c r="J58" s="22" t="n"/>
      <c r="K58" s="22" t="n"/>
      <c r="L58" s="22" t="n"/>
      <c r="M58" s="23" t="n"/>
      <c r="N58" s="23">
        <f>IF(B58="","",WORKDAY(B58,3))</f>
        <v/>
      </c>
      <c r="O58" s="23">
        <f>IF(B58="","",B58+56)</f>
        <v/>
      </c>
      <c r="P58" s="23">
        <f>IF(OR(B58="",L58&lt;&gt;"Yes"),"",WORKDAY(B58,15))</f>
        <v/>
      </c>
      <c r="Q58" s="23">
        <f>IF(OR(B58="",L58&lt;&gt;"Yes"),"",WORKDAY(B58,35))</f>
        <v/>
      </c>
      <c r="R58" s="23">
        <f>IF(OR(B58="",K58&lt;&gt;"Yes"),"",B58+30)</f>
        <v/>
      </c>
      <c r="S58" s="22" t="n"/>
      <c r="T58" s="23" t="n"/>
      <c r="U58" s="22" t="n"/>
      <c r="V58" s="22" t="n"/>
      <c r="W58" s="23" t="n"/>
      <c r="X58" s="22" t="n"/>
      <c r="Y58" s="22" t="n"/>
      <c r="Z58" s="22" t="n"/>
      <c r="AA58" s="22" t="n"/>
      <c r="AB58" s="22" t="n"/>
    </row>
    <row r="59" ht="24" customHeight="1">
      <c r="A59" s="22" t="inlineStr">
        <is>
          <t>CR-054</t>
        </is>
      </c>
      <c r="B59" s="23" t="n"/>
      <c r="C59" s="22" t="n"/>
      <c r="D59" s="22" t="n"/>
      <c r="E59" s="22" t="n"/>
      <c r="F59" s="22" t="n"/>
      <c r="G59" s="22" t="n"/>
      <c r="H59" s="22" t="n"/>
      <c r="I59" s="22" t="n"/>
      <c r="J59" s="22" t="n"/>
      <c r="K59" s="22" t="n"/>
      <c r="L59" s="22" t="n"/>
      <c r="M59" s="23" t="n"/>
      <c r="N59" s="23">
        <f>IF(B59="","",WORKDAY(B59,3))</f>
        <v/>
      </c>
      <c r="O59" s="23">
        <f>IF(B59="","",B59+56)</f>
        <v/>
      </c>
      <c r="P59" s="23">
        <f>IF(OR(B59="",L59&lt;&gt;"Yes"),"",WORKDAY(B59,15))</f>
        <v/>
      </c>
      <c r="Q59" s="23">
        <f>IF(OR(B59="",L59&lt;&gt;"Yes"),"",WORKDAY(B59,35))</f>
        <v/>
      </c>
      <c r="R59" s="23">
        <f>IF(OR(B59="",K59&lt;&gt;"Yes"),"",B59+30)</f>
        <v/>
      </c>
      <c r="S59" s="22" t="n"/>
      <c r="T59" s="23" t="n"/>
      <c r="U59" s="22" t="n"/>
      <c r="V59" s="22" t="n"/>
      <c r="W59" s="23" t="n"/>
      <c r="X59" s="22" t="n"/>
      <c r="Y59" s="22" t="n"/>
      <c r="Z59" s="22" t="n"/>
      <c r="AA59" s="22" t="n"/>
      <c r="AB59" s="22" t="n"/>
    </row>
    <row r="60" ht="24" customHeight="1">
      <c r="A60" s="22" t="inlineStr">
        <is>
          <t>CR-055</t>
        </is>
      </c>
      <c r="B60" s="23" t="n"/>
      <c r="C60" s="22" t="n"/>
      <c r="D60" s="22" t="n"/>
      <c r="E60" s="22" t="n"/>
      <c r="F60" s="22" t="n"/>
      <c r="G60" s="22" t="n"/>
      <c r="H60" s="22" t="n"/>
      <c r="I60" s="22" t="n"/>
      <c r="J60" s="22" t="n"/>
      <c r="K60" s="22" t="n"/>
      <c r="L60" s="22" t="n"/>
      <c r="M60" s="23" t="n"/>
      <c r="N60" s="23">
        <f>IF(B60="","",WORKDAY(B60,3))</f>
        <v/>
      </c>
      <c r="O60" s="23">
        <f>IF(B60="","",B60+56)</f>
        <v/>
      </c>
      <c r="P60" s="23">
        <f>IF(OR(B60="",L60&lt;&gt;"Yes"),"",WORKDAY(B60,15))</f>
        <v/>
      </c>
      <c r="Q60" s="23">
        <f>IF(OR(B60="",L60&lt;&gt;"Yes"),"",WORKDAY(B60,35))</f>
        <v/>
      </c>
      <c r="R60" s="23">
        <f>IF(OR(B60="",K60&lt;&gt;"Yes"),"",B60+30)</f>
        <v/>
      </c>
      <c r="S60" s="22" t="n"/>
      <c r="T60" s="23" t="n"/>
      <c r="U60" s="22" t="n"/>
      <c r="V60" s="22" t="n"/>
      <c r="W60" s="23" t="n"/>
      <c r="X60" s="22" t="n"/>
      <c r="Y60" s="22" t="n"/>
      <c r="Z60" s="22" t="n"/>
      <c r="AA60" s="22" t="n"/>
      <c r="AB60" s="22" t="n"/>
    </row>
    <row r="61" ht="24" customHeight="1">
      <c r="A61" s="22" t="inlineStr">
        <is>
          <t>CR-056</t>
        </is>
      </c>
      <c r="B61" s="23" t="n"/>
      <c r="C61" s="22" t="n"/>
      <c r="D61" s="22" t="n"/>
      <c r="E61" s="22" t="n"/>
      <c r="F61" s="22" t="n"/>
      <c r="G61" s="22" t="n"/>
      <c r="H61" s="22" t="n"/>
      <c r="I61" s="22" t="n"/>
      <c r="J61" s="22" t="n"/>
      <c r="K61" s="22" t="n"/>
      <c r="L61" s="22" t="n"/>
      <c r="M61" s="23" t="n"/>
      <c r="N61" s="23">
        <f>IF(B61="","",WORKDAY(B61,3))</f>
        <v/>
      </c>
      <c r="O61" s="23">
        <f>IF(B61="","",B61+56)</f>
        <v/>
      </c>
      <c r="P61" s="23">
        <f>IF(OR(B61="",L61&lt;&gt;"Yes"),"",WORKDAY(B61,15))</f>
        <v/>
      </c>
      <c r="Q61" s="23">
        <f>IF(OR(B61="",L61&lt;&gt;"Yes"),"",WORKDAY(B61,35))</f>
        <v/>
      </c>
      <c r="R61" s="23">
        <f>IF(OR(B61="",K61&lt;&gt;"Yes"),"",B61+30)</f>
        <v/>
      </c>
      <c r="S61" s="22" t="n"/>
      <c r="T61" s="23" t="n"/>
      <c r="U61" s="22" t="n"/>
      <c r="V61" s="22" t="n"/>
      <c r="W61" s="23" t="n"/>
      <c r="X61" s="22" t="n"/>
      <c r="Y61" s="22" t="n"/>
      <c r="Z61" s="22" t="n"/>
      <c r="AA61" s="22" t="n"/>
      <c r="AB61" s="22" t="n"/>
    </row>
    <row r="62" ht="24" customHeight="1">
      <c r="A62" s="22" t="inlineStr">
        <is>
          <t>CR-057</t>
        </is>
      </c>
      <c r="B62" s="23" t="n"/>
      <c r="C62" s="22" t="n"/>
      <c r="D62" s="22" t="n"/>
      <c r="E62" s="22" t="n"/>
      <c r="F62" s="22" t="n"/>
      <c r="G62" s="22" t="n"/>
      <c r="H62" s="22" t="n"/>
      <c r="I62" s="22" t="n"/>
      <c r="J62" s="22" t="n"/>
      <c r="K62" s="22" t="n"/>
      <c r="L62" s="22" t="n"/>
      <c r="M62" s="23" t="n"/>
      <c r="N62" s="23">
        <f>IF(B62="","",WORKDAY(B62,3))</f>
        <v/>
      </c>
      <c r="O62" s="23">
        <f>IF(B62="","",B62+56)</f>
        <v/>
      </c>
      <c r="P62" s="23">
        <f>IF(OR(B62="",L62&lt;&gt;"Yes"),"",WORKDAY(B62,15))</f>
        <v/>
      </c>
      <c r="Q62" s="23">
        <f>IF(OR(B62="",L62&lt;&gt;"Yes"),"",WORKDAY(B62,35))</f>
        <v/>
      </c>
      <c r="R62" s="23">
        <f>IF(OR(B62="",K62&lt;&gt;"Yes"),"",B62+30)</f>
        <v/>
      </c>
      <c r="S62" s="22" t="n"/>
      <c r="T62" s="23" t="n"/>
      <c r="U62" s="22" t="n"/>
      <c r="V62" s="22" t="n"/>
      <c r="W62" s="23" t="n"/>
      <c r="X62" s="22" t="n"/>
      <c r="Y62" s="22" t="n"/>
      <c r="Z62" s="22" t="n"/>
      <c r="AA62" s="22" t="n"/>
      <c r="AB62" s="22" t="n"/>
    </row>
    <row r="63" ht="24" customHeight="1">
      <c r="A63" s="22" t="inlineStr">
        <is>
          <t>CR-058</t>
        </is>
      </c>
      <c r="B63" s="23" t="n"/>
      <c r="C63" s="22" t="n"/>
      <c r="D63" s="22" t="n"/>
      <c r="E63" s="22" t="n"/>
      <c r="F63" s="22" t="n"/>
      <c r="G63" s="22" t="n"/>
      <c r="H63" s="22" t="n"/>
      <c r="I63" s="22" t="n"/>
      <c r="J63" s="22" t="n"/>
      <c r="K63" s="22" t="n"/>
      <c r="L63" s="22" t="n"/>
      <c r="M63" s="23" t="n"/>
      <c r="N63" s="23">
        <f>IF(B63="","",WORKDAY(B63,3))</f>
        <v/>
      </c>
      <c r="O63" s="23">
        <f>IF(B63="","",B63+56)</f>
        <v/>
      </c>
      <c r="P63" s="23">
        <f>IF(OR(B63="",L63&lt;&gt;"Yes"),"",WORKDAY(B63,15))</f>
        <v/>
      </c>
      <c r="Q63" s="23">
        <f>IF(OR(B63="",L63&lt;&gt;"Yes"),"",WORKDAY(B63,35))</f>
        <v/>
      </c>
      <c r="R63" s="23">
        <f>IF(OR(B63="",K63&lt;&gt;"Yes"),"",B63+30)</f>
        <v/>
      </c>
      <c r="S63" s="22" t="n"/>
      <c r="T63" s="23" t="n"/>
      <c r="U63" s="22" t="n"/>
      <c r="V63" s="22" t="n"/>
      <c r="W63" s="23" t="n"/>
      <c r="X63" s="22" t="n"/>
      <c r="Y63" s="22" t="n"/>
      <c r="Z63" s="22" t="n"/>
      <c r="AA63" s="22" t="n"/>
      <c r="AB63" s="22" t="n"/>
    </row>
    <row r="64" ht="24" customHeight="1">
      <c r="A64" s="22" t="inlineStr">
        <is>
          <t>CR-059</t>
        </is>
      </c>
      <c r="B64" s="23" t="n"/>
      <c r="C64" s="22" t="n"/>
      <c r="D64" s="22" t="n"/>
      <c r="E64" s="22" t="n"/>
      <c r="F64" s="22" t="n"/>
      <c r="G64" s="22" t="n"/>
      <c r="H64" s="22" t="n"/>
      <c r="I64" s="22" t="n"/>
      <c r="J64" s="22" t="n"/>
      <c r="K64" s="22" t="n"/>
      <c r="L64" s="22" t="n"/>
      <c r="M64" s="23" t="n"/>
      <c r="N64" s="23">
        <f>IF(B64="","",WORKDAY(B64,3))</f>
        <v/>
      </c>
      <c r="O64" s="23">
        <f>IF(B64="","",B64+56)</f>
        <v/>
      </c>
      <c r="P64" s="23">
        <f>IF(OR(B64="",L64&lt;&gt;"Yes"),"",WORKDAY(B64,15))</f>
        <v/>
      </c>
      <c r="Q64" s="23">
        <f>IF(OR(B64="",L64&lt;&gt;"Yes"),"",WORKDAY(B64,35))</f>
        <v/>
      </c>
      <c r="R64" s="23">
        <f>IF(OR(B64="",K64&lt;&gt;"Yes"),"",B64+30)</f>
        <v/>
      </c>
      <c r="S64" s="22" t="n"/>
      <c r="T64" s="23" t="n"/>
      <c r="U64" s="22" t="n"/>
      <c r="V64" s="22" t="n"/>
      <c r="W64" s="23" t="n"/>
      <c r="X64" s="22" t="n"/>
      <c r="Y64" s="22" t="n"/>
      <c r="Z64" s="22" t="n"/>
      <c r="AA64" s="22" t="n"/>
      <c r="AB64" s="22" t="n"/>
    </row>
    <row r="65" ht="24" customHeight="1">
      <c r="A65" s="22" t="inlineStr">
        <is>
          <t>CR-060</t>
        </is>
      </c>
      <c r="B65" s="23" t="n"/>
      <c r="C65" s="22" t="n"/>
      <c r="D65" s="22" t="n"/>
      <c r="E65" s="22" t="n"/>
      <c r="F65" s="22" t="n"/>
      <c r="G65" s="22" t="n"/>
      <c r="H65" s="22" t="n"/>
      <c r="I65" s="22" t="n"/>
      <c r="J65" s="22" t="n"/>
      <c r="K65" s="22" t="n"/>
      <c r="L65" s="22" t="n"/>
      <c r="M65" s="23" t="n"/>
      <c r="N65" s="23">
        <f>IF(B65="","",WORKDAY(B65,3))</f>
        <v/>
      </c>
      <c r="O65" s="23">
        <f>IF(B65="","",B65+56)</f>
        <v/>
      </c>
      <c r="P65" s="23">
        <f>IF(OR(B65="",L65&lt;&gt;"Yes"),"",WORKDAY(B65,15))</f>
        <v/>
      </c>
      <c r="Q65" s="23">
        <f>IF(OR(B65="",L65&lt;&gt;"Yes"),"",WORKDAY(B65,35))</f>
        <v/>
      </c>
      <c r="R65" s="23">
        <f>IF(OR(B65="",K65&lt;&gt;"Yes"),"",B65+30)</f>
        <v/>
      </c>
      <c r="S65" s="22" t="n"/>
      <c r="T65" s="23" t="n"/>
      <c r="U65" s="22" t="n"/>
      <c r="V65" s="22" t="n"/>
      <c r="W65" s="23" t="n"/>
      <c r="X65" s="22" t="n"/>
      <c r="Y65" s="22" t="n"/>
      <c r="Z65" s="22" t="n"/>
      <c r="AA65" s="22" t="n"/>
      <c r="AB65" s="22" t="n"/>
    </row>
    <row r="66" ht="24" customHeight="1">
      <c r="A66" s="22" t="inlineStr">
        <is>
          <t>CR-061</t>
        </is>
      </c>
      <c r="B66" s="23" t="n"/>
      <c r="C66" s="22" t="n"/>
      <c r="D66" s="22" t="n"/>
      <c r="E66" s="22" t="n"/>
      <c r="F66" s="22" t="n"/>
      <c r="G66" s="22" t="n"/>
      <c r="H66" s="22" t="n"/>
      <c r="I66" s="22" t="n"/>
      <c r="J66" s="22" t="n"/>
      <c r="K66" s="22" t="n"/>
      <c r="L66" s="22" t="n"/>
      <c r="M66" s="23" t="n"/>
      <c r="N66" s="23">
        <f>IF(B66="","",WORKDAY(B66,3))</f>
        <v/>
      </c>
      <c r="O66" s="23">
        <f>IF(B66="","",B66+56)</f>
        <v/>
      </c>
      <c r="P66" s="23">
        <f>IF(OR(B66="",L66&lt;&gt;"Yes"),"",WORKDAY(B66,15))</f>
        <v/>
      </c>
      <c r="Q66" s="23">
        <f>IF(OR(B66="",L66&lt;&gt;"Yes"),"",WORKDAY(B66,35))</f>
        <v/>
      </c>
      <c r="R66" s="23">
        <f>IF(OR(B66="",K66&lt;&gt;"Yes"),"",B66+30)</f>
        <v/>
      </c>
      <c r="S66" s="22" t="n"/>
      <c r="T66" s="23" t="n"/>
      <c r="U66" s="22" t="n"/>
      <c r="V66" s="22" t="n"/>
      <c r="W66" s="23" t="n"/>
      <c r="X66" s="22" t="n"/>
      <c r="Y66" s="22" t="n"/>
      <c r="Z66" s="22" t="n"/>
      <c r="AA66" s="22" t="n"/>
      <c r="AB66" s="22" t="n"/>
    </row>
    <row r="67" ht="24" customHeight="1">
      <c r="A67" s="22" t="inlineStr">
        <is>
          <t>CR-062</t>
        </is>
      </c>
      <c r="B67" s="23" t="n"/>
      <c r="C67" s="22" t="n"/>
      <c r="D67" s="22" t="n"/>
      <c r="E67" s="22" t="n"/>
      <c r="F67" s="22" t="n"/>
      <c r="G67" s="22" t="n"/>
      <c r="H67" s="22" t="n"/>
      <c r="I67" s="22" t="n"/>
      <c r="J67" s="22" t="n"/>
      <c r="K67" s="22" t="n"/>
      <c r="L67" s="22" t="n"/>
      <c r="M67" s="23" t="n"/>
      <c r="N67" s="23">
        <f>IF(B67="","",WORKDAY(B67,3))</f>
        <v/>
      </c>
      <c r="O67" s="23">
        <f>IF(B67="","",B67+56)</f>
        <v/>
      </c>
      <c r="P67" s="23">
        <f>IF(OR(B67="",L67&lt;&gt;"Yes"),"",WORKDAY(B67,15))</f>
        <v/>
      </c>
      <c r="Q67" s="23">
        <f>IF(OR(B67="",L67&lt;&gt;"Yes"),"",WORKDAY(B67,35))</f>
        <v/>
      </c>
      <c r="R67" s="23">
        <f>IF(OR(B67="",K67&lt;&gt;"Yes"),"",B67+30)</f>
        <v/>
      </c>
      <c r="S67" s="22" t="n"/>
      <c r="T67" s="23" t="n"/>
      <c r="U67" s="22" t="n"/>
      <c r="V67" s="22" t="n"/>
      <c r="W67" s="23" t="n"/>
      <c r="X67" s="22" t="n"/>
      <c r="Y67" s="22" t="n"/>
      <c r="Z67" s="22" t="n"/>
      <c r="AA67" s="22" t="n"/>
      <c r="AB67" s="22" t="n"/>
    </row>
    <row r="68" ht="24" customHeight="1">
      <c r="A68" s="22" t="inlineStr">
        <is>
          <t>CR-063</t>
        </is>
      </c>
      <c r="B68" s="23" t="n"/>
      <c r="C68" s="22" t="n"/>
      <c r="D68" s="22" t="n"/>
      <c r="E68" s="22" t="n"/>
      <c r="F68" s="22" t="n"/>
      <c r="G68" s="22" t="n"/>
      <c r="H68" s="22" t="n"/>
      <c r="I68" s="22" t="n"/>
      <c r="J68" s="22" t="n"/>
      <c r="K68" s="22" t="n"/>
      <c r="L68" s="22" t="n"/>
      <c r="M68" s="23" t="n"/>
      <c r="N68" s="23">
        <f>IF(B68="","",WORKDAY(B68,3))</f>
        <v/>
      </c>
      <c r="O68" s="23">
        <f>IF(B68="","",B68+56)</f>
        <v/>
      </c>
      <c r="P68" s="23">
        <f>IF(OR(B68="",L68&lt;&gt;"Yes"),"",WORKDAY(B68,15))</f>
        <v/>
      </c>
      <c r="Q68" s="23">
        <f>IF(OR(B68="",L68&lt;&gt;"Yes"),"",WORKDAY(B68,35))</f>
        <v/>
      </c>
      <c r="R68" s="23">
        <f>IF(OR(B68="",K68&lt;&gt;"Yes"),"",B68+30)</f>
        <v/>
      </c>
      <c r="S68" s="22" t="n"/>
      <c r="T68" s="23" t="n"/>
      <c r="U68" s="22" t="n"/>
      <c r="V68" s="22" t="n"/>
      <c r="W68" s="23" t="n"/>
      <c r="X68" s="22" t="n"/>
      <c r="Y68" s="22" t="n"/>
      <c r="Z68" s="22" t="n"/>
      <c r="AA68" s="22" t="n"/>
      <c r="AB68" s="22" t="n"/>
    </row>
    <row r="69" ht="24" customHeight="1">
      <c r="A69" s="22" t="inlineStr">
        <is>
          <t>CR-064</t>
        </is>
      </c>
      <c r="B69" s="23" t="n"/>
      <c r="C69" s="22" t="n"/>
      <c r="D69" s="22" t="n"/>
      <c r="E69" s="22" t="n"/>
      <c r="F69" s="22" t="n"/>
      <c r="G69" s="22" t="n"/>
      <c r="H69" s="22" t="n"/>
      <c r="I69" s="22" t="n"/>
      <c r="J69" s="22" t="n"/>
      <c r="K69" s="22" t="n"/>
      <c r="L69" s="22" t="n"/>
      <c r="M69" s="23" t="n"/>
      <c r="N69" s="23">
        <f>IF(B69="","",WORKDAY(B69,3))</f>
        <v/>
      </c>
      <c r="O69" s="23">
        <f>IF(B69="","",B69+56)</f>
        <v/>
      </c>
      <c r="P69" s="23">
        <f>IF(OR(B69="",L69&lt;&gt;"Yes"),"",WORKDAY(B69,15))</f>
        <v/>
      </c>
      <c r="Q69" s="23">
        <f>IF(OR(B69="",L69&lt;&gt;"Yes"),"",WORKDAY(B69,35))</f>
        <v/>
      </c>
      <c r="R69" s="23">
        <f>IF(OR(B69="",K69&lt;&gt;"Yes"),"",B69+30)</f>
        <v/>
      </c>
      <c r="S69" s="22" t="n"/>
      <c r="T69" s="23" t="n"/>
      <c r="U69" s="22" t="n"/>
      <c r="V69" s="22" t="n"/>
      <c r="W69" s="23" t="n"/>
      <c r="X69" s="22" t="n"/>
      <c r="Y69" s="22" t="n"/>
      <c r="Z69" s="22" t="n"/>
      <c r="AA69" s="22" t="n"/>
      <c r="AB69" s="22" t="n"/>
    </row>
    <row r="70" ht="24" customHeight="1">
      <c r="A70" s="22" t="inlineStr">
        <is>
          <t>CR-065</t>
        </is>
      </c>
      <c r="B70" s="23" t="n"/>
      <c r="C70" s="22" t="n"/>
      <c r="D70" s="22" t="n"/>
      <c r="E70" s="22" t="n"/>
      <c r="F70" s="22" t="n"/>
      <c r="G70" s="22" t="n"/>
      <c r="H70" s="22" t="n"/>
      <c r="I70" s="22" t="n"/>
      <c r="J70" s="22" t="n"/>
      <c r="K70" s="22" t="n"/>
      <c r="L70" s="22" t="n"/>
      <c r="M70" s="23" t="n"/>
      <c r="N70" s="23">
        <f>IF(B70="","",WORKDAY(B70,3))</f>
        <v/>
      </c>
      <c r="O70" s="23">
        <f>IF(B70="","",B70+56)</f>
        <v/>
      </c>
      <c r="P70" s="23">
        <f>IF(OR(B70="",L70&lt;&gt;"Yes"),"",WORKDAY(B70,15))</f>
        <v/>
      </c>
      <c r="Q70" s="23">
        <f>IF(OR(B70="",L70&lt;&gt;"Yes"),"",WORKDAY(B70,35))</f>
        <v/>
      </c>
      <c r="R70" s="23">
        <f>IF(OR(B70="",K70&lt;&gt;"Yes"),"",B70+30)</f>
        <v/>
      </c>
      <c r="S70" s="22" t="n"/>
      <c r="T70" s="23" t="n"/>
      <c r="U70" s="22" t="n"/>
      <c r="V70" s="22" t="n"/>
      <c r="W70" s="23" t="n"/>
      <c r="X70" s="22" t="n"/>
      <c r="Y70" s="22" t="n"/>
      <c r="Z70" s="22" t="n"/>
      <c r="AA70" s="22" t="n"/>
      <c r="AB70" s="22" t="n"/>
    </row>
    <row r="71" ht="24" customHeight="1">
      <c r="A71" s="22" t="inlineStr">
        <is>
          <t>CR-066</t>
        </is>
      </c>
      <c r="B71" s="23" t="n"/>
      <c r="C71" s="22" t="n"/>
      <c r="D71" s="22" t="n"/>
      <c r="E71" s="22" t="n"/>
      <c r="F71" s="22" t="n"/>
      <c r="G71" s="22" t="n"/>
      <c r="H71" s="22" t="n"/>
      <c r="I71" s="22" t="n"/>
      <c r="J71" s="22" t="n"/>
      <c r="K71" s="22" t="n"/>
      <c r="L71" s="22" t="n"/>
      <c r="M71" s="23" t="n"/>
      <c r="N71" s="23">
        <f>IF(B71="","",WORKDAY(B71,3))</f>
        <v/>
      </c>
      <c r="O71" s="23">
        <f>IF(B71="","",B71+56)</f>
        <v/>
      </c>
      <c r="P71" s="23">
        <f>IF(OR(B71="",L71&lt;&gt;"Yes"),"",WORKDAY(B71,15))</f>
        <v/>
      </c>
      <c r="Q71" s="23">
        <f>IF(OR(B71="",L71&lt;&gt;"Yes"),"",WORKDAY(B71,35))</f>
        <v/>
      </c>
      <c r="R71" s="23">
        <f>IF(OR(B71="",K71&lt;&gt;"Yes"),"",B71+30)</f>
        <v/>
      </c>
      <c r="S71" s="22" t="n"/>
      <c r="T71" s="23" t="n"/>
      <c r="U71" s="22" t="n"/>
      <c r="V71" s="22" t="n"/>
      <c r="W71" s="23" t="n"/>
      <c r="X71" s="22" t="n"/>
      <c r="Y71" s="22" t="n"/>
      <c r="Z71" s="22" t="n"/>
      <c r="AA71" s="22" t="n"/>
      <c r="AB71" s="22" t="n"/>
    </row>
    <row r="72" ht="24" customHeight="1">
      <c r="A72" s="22" t="inlineStr">
        <is>
          <t>CR-067</t>
        </is>
      </c>
      <c r="B72" s="23" t="n"/>
      <c r="C72" s="22" t="n"/>
      <c r="D72" s="22" t="n"/>
      <c r="E72" s="22" t="n"/>
      <c r="F72" s="22" t="n"/>
      <c r="G72" s="22" t="n"/>
      <c r="H72" s="22" t="n"/>
      <c r="I72" s="22" t="n"/>
      <c r="J72" s="22" t="n"/>
      <c r="K72" s="22" t="n"/>
      <c r="L72" s="22" t="n"/>
      <c r="M72" s="23" t="n"/>
      <c r="N72" s="23">
        <f>IF(B72="","",WORKDAY(B72,3))</f>
        <v/>
      </c>
      <c r="O72" s="23">
        <f>IF(B72="","",B72+56)</f>
        <v/>
      </c>
      <c r="P72" s="23">
        <f>IF(OR(B72="",L72&lt;&gt;"Yes"),"",WORKDAY(B72,15))</f>
        <v/>
      </c>
      <c r="Q72" s="23">
        <f>IF(OR(B72="",L72&lt;&gt;"Yes"),"",WORKDAY(B72,35))</f>
        <v/>
      </c>
      <c r="R72" s="23">
        <f>IF(OR(B72="",K72&lt;&gt;"Yes"),"",B72+30)</f>
        <v/>
      </c>
      <c r="S72" s="22" t="n"/>
      <c r="T72" s="23" t="n"/>
      <c r="U72" s="22" t="n"/>
      <c r="V72" s="22" t="n"/>
      <c r="W72" s="23" t="n"/>
      <c r="X72" s="22" t="n"/>
      <c r="Y72" s="22" t="n"/>
      <c r="Z72" s="22" t="n"/>
      <c r="AA72" s="22" t="n"/>
      <c r="AB72" s="22" t="n"/>
    </row>
    <row r="73" ht="24" customHeight="1">
      <c r="A73" s="22" t="inlineStr">
        <is>
          <t>CR-068</t>
        </is>
      </c>
      <c r="B73" s="23" t="n"/>
      <c r="C73" s="22" t="n"/>
      <c r="D73" s="22" t="n"/>
      <c r="E73" s="22" t="n"/>
      <c r="F73" s="22" t="n"/>
      <c r="G73" s="22" t="n"/>
      <c r="H73" s="22" t="n"/>
      <c r="I73" s="22" t="n"/>
      <c r="J73" s="22" t="n"/>
      <c r="K73" s="22" t="n"/>
      <c r="L73" s="22" t="n"/>
      <c r="M73" s="23" t="n"/>
      <c r="N73" s="23">
        <f>IF(B73="","",WORKDAY(B73,3))</f>
        <v/>
      </c>
      <c r="O73" s="23">
        <f>IF(B73="","",B73+56)</f>
        <v/>
      </c>
      <c r="P73" s="23">
        <f>IF(OR(B73="",L73&lt;&gt;"Yes"),"",WORKDAY(B73,15))</f>
        <v/>
      </c>
      <c r="Q73" s="23">
        <f>IF(OR(B73="",L73&lt;&gt;"Yes"),"",WORKDAY(B73,35))</f>
        <v/>
      </c>
      <c r="R73" s="23">
        <f>IF(OR(B73="",K73&lt;&gt;"Yes"),"",B73+30)</f>
        <v/>
      </c>
      <c r="S73" s="22" t="n"/>
      <c r="T73" s="23" t="n"/>
      <c r="U73" s="22" t="n"/>
      <c r="V73" s="22" t="n"/>
      <c r="W73" s="23" t="n"/>
      <c r="X73" s="22" t="n"/>
      <c r="Y73" s="22" t="n"/>
      <c r="Z73" s="22" t="n"/>
      <c r="AA73" s="22" t="n"/>
      <c r="AB73" s="22" t="n"/>
    </row>
    <row r="74" ht="24" customHeight="1">
      <c r="A74" s="22" t="inlineStr">
        <is>
          <t>CR-069</t>
        </is>
      </c>
      <c r="B74" s="23" t="n"/>
      <c r="C74" s="22" t="n"/>
      <c r="D74" s="22" t="n"/>
      <c r="E74" s="22" t="n"/>
      <c r="F74" s="22" t="n"/>
      <c r="G74" s="22" t="n"/>
      <c r="H74" s="22" t="n"/>
      <c r="I74" s="22" t="n"/>
      <c r="J74" s="22" t="n"/>
      <c r="K74" s="22" t="n"/>
      <c r="L74" s="22" t="n"/>
      <c r="M74" s="23" t="n"/>
      <c r="N74" s="23">
        <f>IF(B74="","",WORKDAY(B74,3))</f>
        <v/>
      </c>
      <c r="O74" s="23">
        <f>IF(B74="","",B74+56)</f>
        <v/>
      </c>
      <c r="P74" s="23">
        <f>IF(OR(B74="",L74&lt;&gt;"Yes"),"",WORKDAY(B74,15))</f>
        <v/>
      </c>
      <c r="Q74" s="23">
        <f>IF(OR(B74="",L74&lt;&gt;"Yes"),"",WORKDAY(B74,35))</f>
        <v/>
      </c>
      <c r="R74" s="23">
        <f>IF(OR(B74="",K74&lt;&gt;"Yes"),"",B74+30)</f>
        <v/>
      </c>
      <c r="S74" s="22" t="n"/>
      <c r="T74" s="23" t="n"/>
      <c r="U74" s="22" t="n"/>
      <c r="V74" s="22" t="n"/>
      <c r="W74" s="23" t="n"/>
      <c r="X74" s="22" t="n"/>
      <c r="Y74" s="22" t="n"/>
      <c r="Z74" s="22" t="n"/>
      <c r="AA74" s="22" t="n"/>
      <c r="AB74" s="22" t="n"/>
    </row>
    <row r="75" ht="24" customHeight="1">
      <c r="A75" s="22" t="inlineStr">
        <is>
          <t>CR-070</t>
        </is>
      </c>
      <c r="B75" s="23" t="n"/>
      <c r="C75" s="22" t="n"/>
      <c r="D75" s="22" t="n"/>
      <c r="E75" s="22" t="n"/>
      <c r="F75" s="22" t="n"/>
      <c r="G75" s="22" t="n"/>
      <c r="H75" s="22" t="n"/>
      <c r="I75" s="22" t="n"/>
      <c r="J75" s="22" t="n"/>
      <c r="K75" s="22" t="n"/>
      <c r="L75" s="22" t="n"/>
      <c r="M75" s="23" t="n"/>
      <c r="N75" s="23">
        <f>IF(B75="","",WORKDAY(B75,3))</f>
        <v/>
      </c>
      <c r="O75" s="23">
        <f>IF(B75="","",B75+56)</f>
        <v/>
      </c>
      <c r="P75" s="23">
        <f>IF(OR(B75="",L75&lt;&gt;"Yes"),"",WORKDAY(B75,15))</f>
        <v/>
      </c>
      <c r="Q75" s="23">
        <f>IF(OR(B75="",L75&lt;&gt;"Yes"),"",WORKDAY(B75,35))</f>
        <v/>
      </c>
      <c r="R75" s="23">
        <f>IF(OR(B75="",K75&lt;&gt;"Yes"),"",B75+30)</f>
        <v/>
      </c>
      <c r="S75" s="22" t="n"/>
      <c r="T75" s="23" t="n"/>
      <c r="U75" s="22" t="n"/>
      <c r="V75" s="22" t="n"/>
      <c r="W75" s="23" t="n"/>
      <c r="X75" s="22" t="n"/>
      <c r="Y75" s="22" t="n"/>
      <c r="Z75" s="22" t="n"/>
      <c r="AA75" s="22" t="n"/>
      <c r="AB75" s="22" t="n"/>
    </row>
    <row r="76" ht="24" customHeight="1">
      <c r="A76" s="22" t="inlineStr">
        <is>
          <t>CR-071</t>
        </is>
      </c>
      <c r="B76" s="23" t="n"/>
      <c r="C76" s="22" t="n"/>
      <c r="D76" s="22" t="n"/>
      <c r="E76" s="22" t="n"/>
      <c r="F76" s="22" t="n"/>
      <c r="G76" s="22" t="n"/>
      <c r="H76" s="22" t="n"/>
      <c r="I76" s="22" t="n"/>
      <c r="J76" s="22" t="n"/>
      <c r="K76" s="22" t="n"/>
      <c r="L76" s="22" t="n"/>
      <c r="M76" s="23" t="n"/>
      <c r="N76" s="23">
        <f>IF(B76="","",WORKDAY(B76,3))</f>
        <v/>
      </c>
      <c r="O76" s="23">
        <f>IF(B76="","",B76+56)</f>
        <v/>
      </c>
      <c r="P76" s="23">
        <f>IF(OR(B76="",L76&lt;&gt;"Yes"),"",WORKDAY(B76,15))</f>
        <v/>
      </c>
      <c r="Q76" s="23">
        <f>IF(OR(B76="",L76&lt;&gt;"Yes"),"",WORKDAY(B76,35))</f>
        <v/>
      </c>
      <c r="R76" s="23">
        <f>IF(OR(B76="",K76&lt;&gt;"Yes"),"",B76+30)</f>
        <v/>
      </c>
      <c r="S76" s="22" t="n"/>
      <c r="T76" s="23" t="n"/>
      <c r="U76" s="22" t="n"/>
      <c r="V76" s="22" t="n"/>
      <c r="W76" s="23" t="n"/>
      <c r="X76" s="22" t="n"/>
      <c r="Y76" s="22" t="n"/>
      <c r="Z76" s="22" t="n"/>
      <c r="AA76" s="22" t="n"/>
      <c r="AB76" s="22" t="n"/>
    </row>
    <row r="77" ht="24" customHeight="1">
      <c r="A77" s="22" t="inlineStr">
        <is>
          <t>CR-072</t>
        </is>
      </c>
      <c r="B77" s="23" t="n"/>
      <c r="C77" s="22" t="n"/>
      <c r="D77" s="22" t="n"/>
      <c r="E77" s="22" t="n"/>
      <c r="F77" s="22" t="n"/>
      <c r="G77" s="22" t="n"/>
      <c r="H77" s="22" t="n"/>
      <c r="I77" s="22" t="n"/>
      <c r="J77" s="22" t="n"/>
      <c r="K77" s="22" t="n"/>
      <c r="L77" s="22" t="n"/>
      <c r="M77" s="23" t="n"/>
      <c r="N77" s="23">
        <f>IF(B77="","",WORKDAY(B77,3))</f>
        <v/>
      </c>
      <c r="O77" s="23">
        <f>IF(B77="","",B77+56)</f>
        <v/>
      </c>
      <c r="P77" s="23">
        <f>IF(OR(B77="",L77&lt;&gt;"Yes"),"",WORKDAY(B77,15))</f>
        <v/>
      </c>
      <c r="Q77" s="23">
        <f>IF(OR(B77="",L77&lt;&gt;"Yes"),"",WORKDAY(B77,35))</f>
        <v/>
      </c>
      <c r="R77" s="23">
        <f>IF(OR(B77="",K77&lt;&gt;"Yes"),"",B77+30)</f>
        <v/>
      </c>
      <c r="S77" s="22" t="n"/>
      <c r="T77" s="23" t="n"/>
      <c r="U77" s="22" t="n"/>
      <c r="V77" s="22" t="n"/>
      <c r="W77" s="23" t="n"/>
      <c r="X77" s="22" t="n"/>
      <c r="Y77" s="22" t="n"/>
      <c r="Z77" s="22" t="n"/>
      <c r="AA77" s="22" t="n"/>
      <c r="AB77" s="22" t="n"/>
    </row>
    <row r="78" ht="24" customHeight="1">
      <c r="A78" s="22" t="inlineStr">
        <is>
          <t>CR-073</t>
        </is>
      </c>
      <c r="B78" s="23" t="n"/>
      <c r="C78" s="22" t="n"/>
      <c r="D78" s="22" t="n"/>
      <c r="E78" s="22" t="n"/>
      <c r="F78" s="22" t="n"/>
      <c r="G78" s="22" t="n"/>
      <c r="H78" s="22" t="n"/>
      <c r="I78" s="22" t="n"/>
      <c r="J78" s="22" t="n"/>
      <c r="K78" s="22" t="n"/>
      <c r="L78" s="22" t="n"/>
      <c r="M78" s="23" t="n"/>
      <c r="N78" s="23">
        <f>IF(B78="","",WORKDAY(B78,3))</f>
        <v/>
      </c>
      <c r="O78" s="23">
        <f>IF(B78="","",B78+56)</f>
        <v/>
      </c>
      <c r="P78" s="23">
        <f>IF(OR(B78="",L78&lt;&gt;"Yes"),"",WORKDAY(B78,15))</f>
        <v/>
      </c>
      <c r="Q78" s="23">
        <f>IF(OR(B78="",L78&lt;&gt;"Yes"),"",WORKDAY(B78,35))</f>
        <v/>
      </c>
      <c r="R78" s="23">
        <f>IF(OR(B78="",K78&lt;&gt;"Yes"),"",B78+30)</f>
        <v/>
      </c>
      <c r="S78" s="22" t="n"/>
      <c r="T78" s="23" t="n"/>
      <c r="U78" s="22" t="n"/>
      <c r="V78" s="22" t="n"/>
      <c r="W78" s="23" t="n"/>
      <c r="X78" s="22" t="n"/>
      <c r="Y78" s="22" t="n"/>
      <c r="Z78" s="22" t="n"/>
      <c r="AA78" s="22" t="n"/>
      <c r="AB78" s="22" t="n"/>
    </row>
    <row r="79" ht="24" customHeight="1">
      <c r="A79" s="22" t="inlineStr">
        <is>
          <t>CR-074</t>
        </is>
      </c>
      <c r="B79" s="23" t="n"/>
      <c r="C79" s="22" t="n"/>
      <c r="D79" s="22" t="n"/>
      <c r="E79" s="22" t="n"/>
      <c r="F79" s="22" t="n"/>
      <c r="G79" s="22" t="n"/>
      <c r="H79" s="22" t="n"/>
      <c r="I79" s="22" t="n"/>
      <c r="J79" s="22" t="n"/>
      <c r="K79" s="22" t="n"/>
      <c r="L79" s="22" t="n"/>
      <c r="M79" s="23" t="n"/>
      <c r="N79" s="23">
        <f>IF(B79="","",WORKDAY(B79,3))</f>
        <v/>
      </c>
      <c r="O79" s="23">
        <f>IF(B79="","",B79+56)</f>
        <v/>
      </c>
      <c r="P79" s="23">
        <f>IF(OR(B79="",L79&lt;&gt;"Yes"),"",WORKDAY(B79,15))</f>
        <v/>
      </c>
      <c r="Q79" s="23">
        <f>IF(OR(B79="",L79&lt;&gt;"Yes"),"",WORKDAY(B79,35))</f>
        <v/>
      </c>
      <c r="R79" s="23">
        <f>IF(OR(B79="",K79&lt;&gt;"Yes"),"",B79+30)</f>
        <v/>
      </c>
      <c r="S79" s="22" t="n"/>
      <c r="T79" s="23" t="n"/>
      <c r="U79" s="22" t="n"/>
      <c r="V79" s="22" t="n"/>
      <c r="W79" s="23" t="n"/>
      <c r="X79" s="22" t="n"/>
      <c r="Y79" s="22" t="n"/>
      <c r="Z79" s="22" t="n"/>
      <c r="AA79" s="22" t="n"/>
      <c r="AB79" s="22" t="n"/>
    </row>
    <row r="80" ht="24" customHeight="1">
      <c r="A80" s="22" t="inlineStr">
        <is>
          <t>CR-075</t>
        </is>
      </c>
      <c r="B80" s="23" t="n"/>
      <c r="C80" s="22" t="n"/>
      <c r="D80" s="22" t="n"/>
      <c r="E80" s="22" t="n"/>
      <c r="F80" s="22" t="n"/>
      <c r="G80" s="22" t="n"/>
      <c r="H80" s="22" t="n"/>
      <c r="I80" s="22" t="n"/>
      <c r="J80" s="22" t="n"/>
      <c r="K80" s="22" t="n"/>
      <c r="L80" s="22" t="n"/>
      <c r="M80" s="23" t="n"/>
      <c r="N80" s="23">
        <f>IF(B80="","",WORKDAY(B80,3))</f>
        <v/>
      </c>
      <c r="O80" s="23">
        <f>IF(B80="","",B80+56)</f>
        <v/>
      </c>
      <c r="P80" s="23">
        <f>IF(OR(B80="",L80&lt;&gt;"Yes"),"",WORKDAY(B80,15))</f>
        <v/>
      </c>
      <c r="Q80" s="23">
        <f>IF(OR(B80="",L80&lt;&gt;"Yes"),"",WORKDAY(B80,35))</f>
        <v/>
      </c>
      <c r="R80" s="23">
        <f>IF(OR(B80="",K80&lt;&gt;"Yes"),"",B80+30)</f>
        <v/>
      </c>
      <c r="S80" s="22" t="n"/>
      <c r="T80" s="23" t="n"/>
      <c r="U80" s="22" t="n"/>
      <c r="V80" s="22" t="n"/>
      <c r="W80" s="23" t="n"/>
      <c r="X80" s="22" t="n"/>
      <c r="Y80" s="22" t="n"/>
      <c r="Z80" s="22" t="n"/>
      <c r="AA80" s="22" t="n"/>
      <c r="AB80" s="22" t="n"/>
    </row>
    <row r="81" ht="24" customHeight="1">
      <c r="A81" s="22" t="inlineStr">
        <is>
          <t>CR-076</t>
        </is>
      </c>
      <c r="B81" s="23" t="n"/>
      <c r="C81" s="22" t="n"/>
      <c r="D81" s="22" t="n"/>
      <c r="E81" s="22" t="n"/>
      <c r="F81" s="22" t="n"/>
      <c r="G81" s="22" t="n"/>
      <c r="H81" s="22" t="n"/>
      <c r="I81" s="22" t="n"/>
      <c r="J81" s="22" t="n"/>
      <c r="K81" s="22" t="n"/>
      <c r="L81" s="22" t="n"/>
      <c r="M81" s="23" t="n"/>
      <c r="N81" s="23">
        <f>IF(B81="","",WORKDAY(B81,3))</f>
        <v/>
      </c>
      <c r="O81" s="23">
        <f>IF(B81="","",B81+56)</f>
        <v/>
      </c>
      <c r="P81" s="23">
        <f>IF(OR(B81="",L81&lt;&gt;"Yes"),"",WORKDAY(B81,15))</f>
        <v/>
      </c>
      <c r="Q81" s="23">
        <f>IF(OR(B81="",L81&lt;&gt;"Yes"),"",WORKDAY(B81,35))</f>
        <v/>
      </c>
      <c r="R81" s="23">
        <f>IF(OR(B81="",K81&lt;&gt;"Yes"),"",B81+30)</f>
        <v/>
      </c>
      <c r="S81" s="22" t="n"/>
      <c r="T81" s="23" t="n"/>
      <c r="U81" s="22" t="n"/>
      <c r="V81" s="22" t="n"/>
      <c r="W81" s="23" t="n"/>
      <c r="X81" s="22" t="n"/>
      <c r="Y81" s="22" t="n"/>
      <c r="Z81" s="22" t="n"/>
      <c r="AA81" s="22" t="n"/>
      <c r="AB81" s="22" t="n"/>
    </row>
    <row r="82" ht="24" customHeight="1">
      <c r="A82" s="22" t="inlineStr">
        <is>
          <t>CR-077</t>
        </is>
      </c>
      <c r="B82" s="23" t="n"/>
      <c r="C82" s="22" t="n"/>
      <c r="D82" s="22" t="n"/>
      <c r="E82" s="22" t="n"/>
      <c r="F82" s="22" t="n"/>
      <c r="G82" s="22" t="n"/>
      <c r="H82" s="22" t="n"/>
      <c r="I82" s="22" t="n"/>
      <c r="J82" s="22" t="n"/>
      <c r="K82" s="22" t="n"/>
      <c r="L82" s="22" t="n"/>
      <c r="M82" s="23" t="n"/>
      <c r="N82" s="23">
        <f>IF(B82="","",WORKDAY(B82,3))</f>
        <v/>
      </c>
      <c r="O82" s="23">
        <f>IF(B82="","",B82+56)</f>
        <v/>
      </c>
      <c r="P82" s="23">
        <f>IF(OR(B82="",L82&lt;&gt;"Yes"),"",WORKDAY(B82,15))</f>
        <v/>
      </c>
      <c r="Q82" s="23">
        <f>IF(OR(B82="",L82&lt;&gt;"Yes"),"",WORKDAY(B82,35))</f>
        <v/>
      </c>
      <c r="R82" s="23">
        <f>IF(OR(B82="",K82&lt;&gt;"Yes"),"",B82+30)</f>
        <v/>
      </c>
      <c r="S82" s="22" t="n"/>
      <c r="T82" s="23" t="n"/>
      <c r="U82" s="22" t="n"/>
      <c r="V82" s="22" t="n"/>
      <c r="W82" s="23" t="n"/>
      <c r="X82" s="22" t="n"/>
      <c r="Y82" s="22" t="n"/>
      <c r="Z82" s="22" t="n"/>
      <c r="AA82" s="22" t="n"/>
      <c r="AB82" s="22" t="n"/>
    </row>
    <row r="83" ht="24" customHeight="1">
      <c r="A83" s="22" t="inlineStr">
        <is>
          <t>CR-078</t>
        </is>
      </c>
      <c r="B83" s="23" t="n"/>
      <c r="C83" s="22" t="n"/>
      <c r="D83" s="22" t="n"/>
      <c r="E83" s="22" t="n"/>
      <c r="F83" s="22" t="n"/>
      <c r="G83" s="22" t="n"/>
      <c r="H83" s="22" t="n"/>
      <c r="I83" s="22" t="n"/>
      <c r="J83" s="22" t="n"/>
      <c r="K83" s="22" t="n"/>
      <c r="L83" s="22" t="n"/>
      <c r="M83" s="23" t="n"/>
      <c r="N83" s="23">
        <f>IF(B83="","",WORKDAY(B83,3))</f>
        <v/>
      </c>
      <c r="O83" s="23">
        <f>IF(B83="","",B83+56)</f>
        <v/>
      </c>
      <c r="P83" s="23">
        <f>IF(OR(B83="",L83&lt;&gt;"Yes"),"",WORKDAY(B83,15))</f>
        <v/>
      </c>
      <c r="Q83" s="23">
        <f>IF(OR(B83="",L83&lt;&gt;"Yes"),"",WORKDAY(B83,35))</f>
        <v/>
      </c>
      <c r="R83" s="23">
        <f>IF(OR(B83="",K83&lt;&gt;"Yes"),"",B83+30)</f>
        <v/>
      </c>
      <c r="S83" s="22" t="n"/>
      <c r="T83" s="23" t="n"/>
      <c r="U83" s="22" t="n"/>
      <c r="V83" s="22" t="n"/>
      <c r="W83" s="23" t="n"/>
      <c r="X83" s="22" t="n"/>
      <c r="Y83" s="22" t="n"/>
      <c r="Z83" s="22" t="n"/>
      <c r="AA83" s="22" t="n"/>
      <c r="AB83" s="22" t="n"/>
    </row>
    <row r="84" ht="24" customHeight="1">
      <c r="A84" s="22" t="inlineStr">
        <is>
          <t>CR-079</t>
        </is>
      </c>
      <c r="B84" s="23" t="n"/>
      <c r="C84" s="22" t="n"/>
      <c r="D84" s="22" t="n"/>
      <c r="E84" s="22" t="n"/>
      <c r="F84" s="22" t="n"/>
      <c r="G84" s="22" t="n"/>
      <c r="H84" s="22" t="n"/>
      <c r="I84" s="22" t="n"/>
      <c r="J84" s="22" t="n"/>
      <c r="K84" s="22" t="n"/>
      <c r="L84" s="22" t="n"/>
      <c r="M84" s="23" t="n"/>
      <c r="N84" s="23">
        <f>IF(B84="","",WORKDAY(B84,3))</f>
        <v/>
      </c>
      <c r="O84" s="23">
        <f>IF(B84="","",B84+56)</f>
        <v/>
      </c>
      <c r="P84" s="23">
        <f>IF(OR(B84="",L84&lt;&gt;"Yes"),"",WORKDAY(B84,15))</f>
        <v/>
      </c>
      <c r="Q84" s="23">
        <f>IF(OR(B84="",L84&lt;&gt;"Yes"),"",WORKDAY(B84,35))</f>
        <v/>
      </c>
      <c r="R84" s="23">
        <f>IF(OR(B84="",K84&lt;&gt;"Yes"),"",B84+30)</f>
        <v/>
      </c>
      <c r="S84" s="22" t="n"/>
      <c r="T84" s="23" t="n"/>
      <c r="U84" s="22" t="n"/>
      <c r="V84" s="22" t="n"/>
      <c r="W84" s="23" t="n"/>
      <c r="X84" s="22" t="n"/>
      <c r="Y84" s="22" t="n"/>
      <c r="Z84" s="22" t="n"/>
      <c r="AA84" s="22" t="n"/>
      <c r="AB84" s="22" t="n"/>
    </row>
    <row r="85" ht="24" customHeight="1">
      <c r="A85" s="22" t="inlineStr">
        <is>
          <t>CR-080</t>
        </is>
      </c>
      <c r="B85" s="23" t="n"/>
      <c r="C85" s="22" t="n"/>
      <c r="D85" s="22" t="n"/>
      <c r="E85" s="22" t="n"/>
      <c r="F85" s="22" t="n"/>
      <c r="G85" s="22" t="n"/>
      <c r="H85" s="22" t="n"/>
      <c r="I85" s="22" t="n"/>
      <c r="J85" s="22" t="n"/>
      <c r="K85" s="22" t="n"/>
      <c r="L85" s="22" t="n"/>
      <c r="M85" s="23" t="n"/>
      <c r="N85" s="23">
        <f>IF(B85="","",WORKDAY(B85,3))</f>
        <v/>
      </c>
      <c r="O85" s="23">
        <f>IF(B85="","",B85+56)</f>
        <v/>
      </c>
      <c r="P85" s="23">
        <f>IF(OR(B85="",L85&lt;&gt;"Yes"),"",WORKDAY(B85,15))</f>
        <v/>
      </c>
      <c r="Q85" s="23">
        <f>IF(OR(B85="",L85&lt;&gt;"Yes"),"",WORKDAY(B85,35))</f>
        <v/>
      </c>
      <c r="R85" s="23">
        <f>IF(OR(B85="",K85&lt;&gt;"Yes"),"",B85+30)</f>
        <v/>
      </c>
      <c r="S85" s="22" t="n"/>
      <c r="T85" s="23" t="n"/>
      <c r="U85" s="22" t="n"/>
      <c r="V85" s="22" t="n"/>
      <c r="W85" s="23" t="n"/>
      <c r="X85" s="22" t="n"/>
      <c r="Y85" s="22" t="n"/>
      <c r="Z85" s="22" t="n"/>
      <c r="AA85" s="22" t="n"/>
      <c r="AB85" s="22" t="n"/>
    </row>
    <row r="86" ht="24" customHeight="1">
      <c r="A86" s="22" t="inlineStr">
        <is>
          <t>CR-081</t>
        </is>
      </c>
      <c r="B86" s="23" t="n"/>
      <c r="C86" s="22" t="n"/>
      <c r="D86" s="22" t="n"/>
      <c r="E86" s="22" t="n"/>
      <c r="F86" s="22" t="n"/>
      <c r="G86" s="22" t="n"/>
      <c r="H86" s="22" t="n"/>
      <c r="I86" s="22" t="n"/>
      <c r="J86" s="22" t="n"/>
      <c r="K86" s="22" t="n"/>
      <c r="L86" s="22" t="n"/>
      <c r="M86" s="23" t="n"/>
      <c r="N86" s="23">
        <f>IF(B86="","",WORKDAY(B86,3))</f>
        <v/>
      </c>
      <c r="O86" s="23">
        <f>IF(B86="","",B86+56)</f>
        <v/>
      </c>
      <c r="P86" s="23">
        <f>IF(OR(B86="",L86&lt;&gt;"Yes"),"",WORKDAY(B86,15))</f>
        <v/>
      </c>
      <c r="Q86" s="23">
        <f>IF(OR(B86="",L86&lt;&gt;"Yes"),"",WORKDAY(B86,35))</f>
        <v/>
      </c>
      <c r="R86" s="23">
        <f>IF(OR(B86="",K86&lt;&gt;"Yes"),"",B86+30)</f>
        <v/>
      </c>
      <c r="S86" s="22" t="n"/>
      <c r="T86" s="23" t="n"/>
      <c r="U86" s="22" t="n"/>
      <c r="V86" s="22" t="n"/>
      <c r="W86" s="23" t="n"/>
      <c r="X86" s="22" t="n"/>
      <c r="Y86" s="22" t="n"/>
      <c r="Z86" s="22" t="n"/>
      <c r="AA86" s="22" t="n"/>
      <c r="AB86" s="22" t="n"/>
    </row>
    <row r="87" ht="24" customHeight="1">
      <c r="A87" s="22" t="inlineStr">
        <is>
          <t>CR-082</t>
        </is>
      </c>
      <c r="B87" s="23" t="n"/>
      <c r="C87" s="22" t="n"/>
      <c r="D87" s="22" t="n"/>
      <c r="E87" s="22" t="n"/>
      <c r="F87" s="22" t="n"/>
      <c r="G87" s="22" t="n"/>
      <c r="H87" s="22" t="n"/>
      <c r="I87" s="22" t="n"/>
      <c r="J87" s="22" t="n"/>
      <c r="K87" s="22" t="n"/>
      <c r="L87" s="22" t="n"/>
      <c r="M87" s="23" t="n"/>
      <c r="N87" s="23">
        <f>IF(B87="","",WORKDAY(B87,3))</f>
        <v/>
      </c>
      <c r="O87" s="23">
        <f>IF(B87="","",B87+56)</f>
        <v/>
      </c>
      <c r="P87" s="23">
        <f>IF(OR(B87="",L87&lt;&gt;"Yes"),"",WORKDAY(B87,15))</f>
        <v/>
      </c>
      <c r="Q87" s="23">
        <f>IF(OR(B87="",L87&lt;&gt;"Yes"),"",WORKDAY(B87,35))</f>
        <v/>
      </c>
      <c r="R87" s="23">
        <f>IF(OR(B87="",K87&lt;&gt;"Yes"),"",B87+30)</f>
        <v/>
      </c>
      <c r="S87" s="22" t="n"/>
      <c r="T87" s="23" t="n"/>
      <c r="U87" s="22" t="n"/>
      <c r="V87" s="22" t="n"/>
      <c r="W87" s="23" t="n"/>
      <c r="X87" s="22" t="n"/>
      <c r="Y87" s="22" t="n"/>
      <c r="Z87" s="22" t="n"/>
      <c r="AA87" s="22" t="n"/>
      <c r="AB87" s="22" t="n"/>
    </row>
    <row r="88" ht="24" customHeight="1">
      <c r="A88" s="22" t="inlineStr">
        <is>
          <t>CR-083</t>
        </is>
      </c>
      <c r="B88" s="23" t="n"/>
      <c r="C88" s="22" t="n"/>
      <c r="D88" s="22" t="n"/>
      <c r="E88" s="22" t="n"/>
      <c r="F88" s="22" t="n"/>
      <c r="G88" s="22" t="n"/>
      <c r="H88" s="22" t="n"/>
      <c r="I88" s="22" t="n"/>
      <c r="J88" s="22" t="n"/>
      <c r="K88" s="22" t="n"/>
      <c r="L88" s="22" t="n"/>
      <c r="M88" s="23" t="n"/>
      <c r="N88" s="23">
        <f>IF(B88="","",WORKDAY(B88,3))</f>
        <v/>
      </c>
      <c r="O88" s="23">
        <f>IF(B88="","",B88+56)</f>
        <v/>
      </c>
      <c r="P88" s="23">
        <f>IF(OR(B88="",L88&lt;&gt;"Yes"),"",WORKDAY(B88,15))</f>
        <v/>
      </c>
      <c r="Q88" s="23">
        <f>IF(OR(B88="",L88&lt;&gt;"Yes"),"",WORKDAY(B88,35))</f>
        <v/>
      </c>
      <c r="R88" s="23">
        <f>IF(OR(B88="",K88&lt;&gt;"Yes"),"",B88+30)</f>
        <v/>
      </c>
      <c r="S88" s="22" t="n"/>
      <c r="T88" s="23" t="n"/>
      <c r="U88" s="22" t="n"/>
      <c r="V88" s="22" t="n"/>
      <c r="W88" s="23" t="n"/>
      <c r="X88" s="22" t="n"/>
      <c r="Y88" s="22" t="n"/>
      <c r="Z88" s="22" t="n"/>
      <c r="AA88" s="22" t="n"/>
      <c r="AB88" s="22" t="n"/>
    </row>
    <row r="89" ht="24" customHeight="1">
      <c r="A89" s="22" t="inlineStr">
        <is>
          <t>CR-084</t>
        </is>
      </c>
      <c r="B89" s="23" t="n"/>
      <c r="C89" s="22" t="n"/>
      <c r="D89" s="22" t="n"/>
      <c r="E89" s="22" t="n"/>
      <c r="F89" s="22" t="n"/>
      <c r="G89" s="22" t="n"/>
      <c r="H89" s="22" t="n"/>
      <c r="I89" s="22" t="n"/>
      <c r="J89" s="22" t="n"/>
      <c r="K89" s="22" t="n"/>
      <c r="L89" s="22" t="n"/>
      <c r="M89" s="23" t="n"/>
      <c r="N89" s="23">
        <f>IF(B89="","",WORKDAY(B89,3))</f>
        <v/>
      </c>
      <c r="O89" s="23">
        <f>IF(B89="","",B89+56)</f>
        <v/>
      </c>
      <c r="P89" s="23">
        <f>IF(OR(B89="",L89&lt;&gt;"Yes"),"",WORKDAY(B89,15))</f>
        <v/>
      </c>
      <c r="Q89" s="23">
        <f>IF(OR(B89="",L89&lt;&gt;"Yes"),"",WORKDAY(B89,35))</f>
        <v/>
      </c>
      <c r="R89" s="23">
        <f>IF(OR(B89="",K89&lt;&gt;"Yes"),"",B89+30)</f>
        <v/>
      </c>
      <c r="S89" s="22" t="n"/>
      <c r="T89" s="23" t="n"/>
      <c r="U89" s="22" t="n"/>
      <c r="V89" s="22" t="n"/>
      <c r="W89" s="23" t="n"/>
      <c r="X89" s="22" t="n"/>
      <c r="Y89" s="22" t="n"/>
      <c r="Z89" s="22" t="n"/>
      <c r="AA89" s="22" t="n"/>
      <c r="AB89" s="22" t="n"/>
    </row>
    <row r="90" ht="24" customHeight="1">
      <c r="A90" s="22" t="inlineStr">
        <is>
          <t>CR-085</t>
        </is>
      </c>
      <c r="B90" s="23" t="n"/>
      <c r="C90" s="22" t="n"/>
      <c r="D90" s="22" t="n"/>
      <c r="E90" s="22" t="n"/>
      <c r="F90" s="22" t="n"/>
      <c r="G90" s="22" t="n"/>
      <c r="H90" s="22" t="n"/>
      <c r="I90" s="22" t="n"/>
      <c r="J90" s="22" t="n"/>
      <c r="K90" s="22" t="n"/>
      <c r="L90" s="22" t="n"/>
      <c r="M90" s="23" t="n"/>
      <c r="N90" s="23">
        <f>IF(B90="","",WORKDAY(B90,3))</f>
        <v/>
      </c>
      <c r="O90" s="23">
        <f>IF(B90="","",B90+56)</f>
        <v/>
      </c>
      <c r="P90" s="23">
        <f>IF(OR(B90="",L90&lt;&gt;"Yes"),"",WORKDAY(B90,15))</f>
        <v/>
      </c>
      <c r="Q90" s="23">
        <f>IF(OR(B90="",L90&lt;&gt;"Yes"),"",WORKDAY(B90,35))</f>
        <v/>
      </c>
      <c r="R90" s="23">
        <f>IF(OR(B90="",K90&lt;&gt;"Yes"),"",B90+30)</f>
        <v/>
      </c>
      <c r="S90" s="22" t="n"/>
      <c r="T90" s="23" t="n"/>
      <c r="U90" s="22" t="n"/>
      <c r="V90" s="22" t="n"/>
      <c r="W90" s="23" t="n"/>
      <c r="X90" s="22" t="n"/>
      <c r="Y90" s="22" t="n"/>
      <c r="Z90" s="22" t="n"/>
      <c r="AA90" s="22" t="n"/>
      <c r="AB90" s="22" t="n"/>
    </row>
    <row r="91" ht="24" customHeight="1">
      <c r="A91" s="22" t="inlineStr">
        <is>
          <t>CR-086</t>
        </is>
      </c>
      <c r="B91" s="23" t="n"/>
      <c r="C91" s="22" t="n"/>
      <c r="D91" s="22" t="n"/>
      <c r="E91" s="22" t="n"/>
      <c r="F91" s="22" t="n"/>
      <c r="G91" s="22" t="n"/>
      <c r="H91" s="22" t="n"/>
      <c r="I91" s="22" t="n"/>
      <c r="J91" s="22" t="n"/>
      <c r="K91" s="22" t="n"/>
      <c r="L91" s="22" t="n"/>
      <c r="M91" s="23" t="n"/>
      <c r="N91" s="23">
        <f>IF(B91="","",WORKDAY(B91,3))</f>
        <v/>
      </c>
      <c r="O91" s="23">
        <f>IF(B91="","",B91+56)</f>
        <v/>
      </c>
      <c r="P91" s="23">
        <f>IF(OR(B91="",L91&lt;&gt;"Yes"),"",WORKDAY(B91,15))</f>
        <v/>
      </c>
      <c r="Q91" s="23">
        <f>IF(OR(B91="",L91&lt;&gt;"Yes"),"",WORKDAY(B91,35))</f>
        <v/>
      </c>
      <c r="R91" s="23">
        <f>IF(OR(B91="",K91&lt;&gt;"Yes"),"",B91+30)</f>
        <v/>
      </c>
      <c r="S91" s="22" t="n"/>
      <c r="T91" s="23" t="n"/>
      <c r="U91" s="22" t="n"/>
      <c r="V91" s="22" t="n"/>
      <c r="W91" s="23" t="n"/>
      <c r="X91" s="22" t="n"/>
      <c r="Y91" s="22" t="n"/>
      <c r="Z91" s="22" t="n"/>
      <c r="AA91" s="22" t="n"/>
      <c r="AB91" s="22" t="n"/>
    </row>
    <row r="92" ht="24" customHeight="1">
      <c r="A92" s="22" t="inlineStr">
        <is>
          <t>CR-087</t>
        </is>
      </c>
      <c r="B92" s="23" t="n"/>
      <c r="C92" s="22" t="n"/>
      <c r="D92" s="22" t="n"/>
      <c r="E92" s="22" t="n"/>
      <c r="F92" s="22" t="n"/>
      <c r="G92" s="22" t="n"/>
      <c r="H92" s="22" t="n"/>
      <c r="I92" s="22" t="n"/>
      <c r="J92" s="22" t="n"/>
      <c r="K92" s="22" t="n"/>
      <c r="L92" s="22" t="n"/>
      <c r="M92" s="23" t="n"/>
      <c r="N92" s="23">
        <f>IF(B92="","",WORKDAY(B92,3))</f>
        <v/>
      </c>
      <c r="O92" s="23">
        <f>IF(B92="","",B92+56)</f>
        <v/>
      </c>
      <c r="P92" s="23">
        <f>IF(OR(B92="",L92&lt;&gt;"Yes"),"",WORKDAY(B92,15))</f>
        <v/>
      </c>
      <c r="Q92" s="23">
        <f>IF(OR(B92="",L92&lt;&gt;"Yes"),"",WORKDAY(B92,35))</f>
        <v/>
      </c>
      <c r="R92" s="23">
        <f>IF(OR(B92="",K92&lt;&gt;"Yes"),"",B92+30)</f>
        <v/>
      </c>
      <c r="S92" s="22" t="n"/>
      <c r="T92" s="23" t="n"/>
      <c r="U92" s="22" t="n"/>
      <c r="V92" s="22" t="n"/>
      <c r="W92" s="23" t="n"/>
      <c r="X92" s="22" t="n"/>
      <c r="Y92" s="22" t="n"/>
      <c r="Z92" s="22" t="n"/>
      <c r="AA92" s="22" t="n"/>
      <c r="AB92" s="22" t="n"/>
    </row>
    <row r="93" ht="24" customHeight="1">
      <c r="A93" s="22" t="inlineStr">
        <is>
          <t>CR-088</t>
        </is>
      </c>
      <c r="B93" s="23" t="n"/>
      <c r="C93" s="22" t="n"/>
      <c r="D93" s="22" t="n"/>
      <c r="E93" s="22" t="n"/>
      <c r="F93" s="22" t="n"/>
      <c r="G93" s="22" t="n"/>
      <c r="H93" s="22" t="n"/>
      <c r="I93" s="22" t="n"/>
      <c r="J93" s="22" t="n"/>
      <c r="K93" s="22" t="n"/>
      <c r="L93" s="22" t="n"/>
      <c r="M93" s="23" t="n"/>
      <c r="N93" s="23">
        <f>IF(B93="","",WORKDAY(B93,3))</f>
        <v/>
      </c>
      <c r="O93" s="23">
        <f>IF(B93="","",B93+56)</f>
        <v/>
      </c>
      <c r="P93" s="23">
        <f>IF(OR(B93="",L93&lt;&gt;"Yes"),"",WORKDAY(B93,15))</f>
        <v/>
      </c>
      <c r="Q93" s="23">
        <f>IF(OR(B93="",L93&lt;&gt;"Yes"),"",WORKDAY(B93,35))</f>
        <v/>
      </c>
      <c r="R93" s="23">
        <f>IF(OR(B93="",K93&lt;&gt;"Yes"),"",B93+30)</f>
        <v/>
      </c>
      <c r="S93" s="22" t="n"/>
      <c r="T93" s="23" t="n"/>
      <c r="U93" s="22" t="n"/>
      <c r="V93" s="22" t="n"/>
      <c r="W93" s="23" t="n"/>
      <c r="X93" s="22" t="n"/>
      <c r="Y93" s="22" t="n"/>
      <c r="Z93" s="22" t="n"/>
      <c r="AA93" s="22" t="n"/>
      <c r="AB93" s="22" t="n"/>
    </row>
    <row r="94" ht="24" customHeight="1">
      <c r="A94" s="22" t="inlineStr">
        <is>
          <t>CR-089</t>
        </is>
      </c>
      <c r="B94" s="23" t="n"/>
      <c r="C94" s="22" t="n"/>
      <c r="D94" s="22" t="n"/>
      <c r="E94" s="22" t="n"/>
      <c r="F94" s="22" t="n"/>
      <c r="G94" s="22" t="n"/>
      <c r="H94" s="22" t="n"/>
      <c r="I94" s="22" t="n"/>
      <c r="J94" s="22" t="n"/>
      <c r="K94" s="22" t="n"/>
      <c r="L94" s="22" t="n"/>
      <c r="M94" s="23" t="n"/>
      <c r="N94" s="23">
        <f>IF(B94="","",WORKDAY(B94,3))</f>
        <v/>
      </c>
      <c r="O94" s="23">
        <f>IF(B94="","",B94+56)</f>
        <v/>
      </c>
      <c r="P94" s="23">
        <f>IF(OR(B94="",L94&lt;&gt;"Yes"),"",WORKDAY(B94,15))</f>
        <v/>
      </c>
      <c r="Q94" s="23">
        <f>IF(OR(B94="",L94&lt;&gt;"Yes"),"",WORKDAY(B94,35))</f>
        <v/>
      </c>
      <c r="R94" s="23">
        <f>IF(OR(B94="",K94&lt;&gt;"Yes"),"",B94+30)</f>
        <v/>
      </c>
      <c r="S94" s="22" t="n"/>
      <c r="T94" s="23" t="n"/>
      <c r="U94" s="22" t="n"/>
      <c r="V94" s="22" t="n"/>
      <c r="W94" s="23" t="n"/>
      <c r="X94" s="22" t="n"/>
      <c r="Y94" s="22" t="n"/>
      <c r="Z94" s="22" t="n"/>
      <c r="AA94" s="22" t="n"/>
      <c r="AB94" s="22" t="n"/>
    </row>
    <row r="95" ht="24" customHeight="1">
      <c r="A95" s="22" t="inlineStr">
        <is>
          <t>CR-090</t>
        </is>
      </c>
      <c r="B95" s="23" t="n"/>
      <c r="C95" s="22" t="n"/>
      <c r="D95" s="22" t="n"/>
      <c r="E95" s="22" t="n"/>
      <c r="F95" s="22" t="n"/>
      <c r="G95" s="22" t="n"/>
      <c r="H95" s="22" t="n"/>
      <c r="I95" s="22" t="n"/>
      <c r="J95" s="22" t="n"/>
      <c r="K95" s="22" t="n"/>
      <c r="L95" s="22" t="n"/>
      <c r="M95" s="23" t="n"/>
      <c r="N95" s="23">
        <f>IF(B95="","",WORKDAY(B95,3))</f>
        <v/>
      </c>
      <c r="O95" s="23">
        <f>IF(B95="","",B95+56)</f>
        <v/>
      </c>
      <c r="P95" s="23">
        <f>IF(OR(B95="",L95&lt;&gt;"Yes"),"",WORKDAY(B95,15))</f>
        <v/>
      </c>
      <c r="Q95" s="23">
        <f>IF(OR(B95="",L95&lt;&gt;"Yes"),"",WORKDAY(B95,35))</f>
        <v/>
      </c>
      <c r="R95" s="23">
        <f>IF(OR(B95="",K95&lt;&gt;"Yes"),"",B95+30)</f>
        <v/>
      </c>
      <c r="S95" s="22" t="n"/>
      <c r="T95" s="23" t="n"/>
      <c r="U95" s="22" t="n"/>
      <c r="V95" s="22" t="n"/>
      <c r="W95" s="23" t="n"/>
      <c r="X95" s="22" t="n"/>
      <c r="Y95" s="22" t="n"/>
      <c r="Z95" s="22" t="n"/>
      <c r="AA95" s="22" t="n"/>
      <c r="AB95" s="22" t="n"/>
    </row>
    <row r="96" ht="24" customHeight="1">
      <c r="A96" s="22" t="inlineStr">
        <is>
          <t>CR-091</t>
        </is>
      </c>
      <c r="B96" s="23" t="n"/>
      <c r="C96" s="22" t="n"/>
      <c r="D96" s="22" t="n"/>
      <c r="E96" s="22" t="n"/>
      <c r="F96" s="22" t="n"/>
      <c r="G96" s="22" t="n"/>
      <c r="H96" s="22" t="n"/>
      <c r="I96" s="22" t="n"/>
      <c r="J96" s="22" t="n"/>
      <c r="K96" s="22" t="n"/>
      <c r="L96" s="22" t="n"/>
      <c r="M96" s="23" t="n"/>
      <c r="N96" s="23">
        <f>IF(B96="","",WORKDAY(B96,3))</f>
        <v/>
      </c>
      <c r="O96" s="23">
        <f>IF(B96="","",B96+56)</f>
        <v/>
      </c>
      <c r="P96" s="23">
        <f>IF(OR(B96="",L96&lt;&gt;"Yes"),"",WORKDAY(B96,15))</f>
        <v/>
      </c>
      <c r="Q96" s="23">
        <f>IF(OR(B96="",L96&lt;&gt;"Yes"),"",WORKDAY(B96,35))</f>
        <v/>
      </c>
      <c r="R96" s="23">
        <f>IF(OR(B96="",K96&lt;&gt;"Yes"),"",B96+30)</f>
        <v/>
      </c>
      <c r="S96" s="22" t="n"/>
      <c r="T96" s="23" t="n"/>
      <c r="U96" s="22" t="n"/>
      <c r="V96" s="22" t="n"/>
      <c r="W96" s="23" t="n"/>
      <c r="X96" s="22" t="n"/>
      <c r="Y96" s="22" t="n"/>
      <c r="Z96" s="22" t="n"/>
      <c r="AA96" s="22" t="n"/>
      <c r="AB96" s="22" t="n"/>
    </row>
    <row r="97" ht="24" customHeight="1">
      <c r="A97" s="22" t="inlineStr">
        <is>
          <t>CR-092</t>
        </is>
      </c>
      <c r="B97" s="23" t="n"/>
      <c r="C97" s="22" t="n"/>
      <c r="D97" s="22" t="n"/>
      <c r="E97" s="22" t="n"/>
      <c r="F97" s="22" t="n"/>
      <c r="G97" s="22" t="n"/>
      <c r="H97" s="22" t="n"/>
      <c r="I97" s="22" t="n"/>
      <c r="J97" s="22" t="n"/>
      <c r="K97" s="22" t="n"/>
      <c r="L97" s="22" t="n"/>
      <c r="M97" s="23" t="n"/>
      <c r="N97" s="23">
        <f>IF(B97="","",WORKDAY(B97,3))</f>
        <v/>
      </c>
      <c r="O97" s="23">
        <f>IF(B97="","",B97+56)</f>
        <v/>
      </c>
      <c r="P97" s="23">
        <f>IF(OR(B97="",L97&lt;&gt;"Yes"),"",WORKDAY(B97,15))</f>
        <v/>
      </c>
      <c r="Q97" s="23">
        <f>IF(OR(B97="",L97&lt;&gt;"Yes"),"",WORKDAY(B97,35))</f>
        <v/>
      </c>
      <c r="R97" s="23">
        <f>IF(OR(B97="",K97&lt;&gt;"Yes"),"",B97+30)</f>
        <v/>
      </c>
      <c r="S97" s="22" t="n"/>
      <c r="T97" s="23" t="n"/>
      <c r="U97" s="22" t="n"/>
      <c r="V97" s="22" t="n"/>
      <c r="W97" s="23" t="n"/>
      <c r="X97" s="22" t="n"/>
      <c r="Y97" s="22" t="n"/>
      <c r="Z97" s="22" t="n"/>
      <c r="AA97" s="22" t="n"/>
      <c r="AB97" s="22" t="n"/>
    </row>
    <row r="98" ht="24" customHeight="1">
      <c r="A98" s="22" t="inlineStr">
        <is>
          <t>CR-093</t>
        </is>
      </c>
      <c r="B98" s="23" t="n"/>
      <c r="C98" s="22" t="n"/>
      <c r="D98" s="22" t="n"/>
      <c r="E98" s="22" t="n"/>
      <c r="F98" s="22" t="n"/>
      <c r="G98" s="22" t="n"/>
      <c r="H98" s="22" t="n"/>
      <c r="I98" s="22" t="n"/>
      <c r="J98" s="22" t="n"/>
      <c r="K98" s="22" t="n"/>
      <c r="L98" s="22" t="n"/>
      <c r="M98" s="23" t="n"/>
      <c r="N98" s="23">
        <f>IF(B98="","",WORKDAY(B98,3))</f>
        <v/>
      </c>
      <c r="O98" s="23">
        <f>IF(B98="","",B98+56)</f>
        <v/>
      </c>
      <c r="P98" s="23">
        <f>IF(OR(B98="",L98&lt;&gt;"Yes"),"",WORKDAY(B98,15))</f>
        <v/>
      </c>
      <c r="Q98" s="23">
        <f>IF(OR(B98="",L98&lt;&gt;"Yes"),"",WORKDAY(B98,35))</f>
        <v/>
      </c>
      <c r="R98" s="23">
        <f>IF(OR(B98="",K98&lt;&gt;"Yes"),"",B98+30)</f>
        <v/>
      </c>
      <c r="S98" s="22" t="n"/>
      <c r="T98" s="23" t="n"/>
      <c r="U98" s="22" t="n"/>
      <c r="V98" s="22" t="n"/>
      <c r="W98" s="23" t="n"/>
      <c r="X98" s="22" t="n"/>
      <c r="Y98" s="22" t="n"/>
      <c r="Z98" s="22" t="n"/>
      <c r="AA98" s="22" t="n"/>
      <c r="AB98" s="22" t="n"/>
    </row>
    <row r="99" ht="24" customHeight="1">
      <c r="A99" s="22" t="inlineStr">
        <is>
          <t>CR-094</t>
        </is>
      </c>
      <c r="B99" s="23" t="n"/>
      <c r="C99" s="22" t="n"/>
      <c r="D99" s="22" t="n"/>
      <c r="E99" s="22" t="n"/>
      <c r="F99" s="22" t="n"/>
      <c r="G99" s="22" t="n"/>
      <c r="H99" s="22" t="n"/>
      <c r="I99" s="22" t="n"/>
      <c r="J99" s="22" t="n"/>
      <c r="K99" s="22" t="n"/>
      <c r="L99" s="22" t="n"/>
      <c r="M99" s="23" t="n"/>
      <c r="N99" s="23">
        <f>IF(B99="","",WORKDAY(B99,3))</f>
        <v/>
      </c>
      <c r="O99" s="23">
        <f>IF(B99="","",B99+56)</f>
        <v/>
      </c>
      <c r="P99" s="23">
        <f>IF(OR(B99="",L99&lt;&gt;"Yes"),"",WORKDAY(B99,15))</f>
        <v/>
      </c>
      <c r="Q99" s="23">
        <f>IF(OR(B99="",L99&lt;&gt;"Yes"),"",WORKDAY(B99,35))</f>
        <v/>
      </c>
      <c r="R99" s="23">
        <f>IF(OR(B99="",K99&lt;&gt;"Yes"),"",B99+30)</f>
        <v/>
      </c>
      <c r="S99" s="22" t="n"/>
      <c r="T99" s="23" t="n"/>
      <c r="U99" s="22" t="n"/>
      <c r="V99" s="22" t="n"/>
      <c r="W99" s="23" t="n"/>
      <c r="X99" s="22" t="n"/>
      <c r="Y99" s="22" t="n"/>
      <c r="Z99" s="22" t="n"/>
      <c r="AA99" s="22" t="n"/>
      <c r="AB99" s="22" t="n"/>
    </row>
    <row r="100" ht="24" customHeight="1">
      <c r="A100" s="22" t="inlineStr">
        <is>
          <t>CR-095</t>
        </is>
      </c>
      <c r="B100" s="23" t="n"/>
      <c r="C100" s="22" t="n"/>
      <c r="D100" s="22" t="n"/>
      <c r="E100" s="22" t="n"/>
      <c r="F100" s="22" t="n"/>
      <c r="G100" s="22" t="n"/>
      <c r="H100" s="22" t="n"/>
      <c r="I100" s="22" t="n"/>
      <c r="J100" s="22" t="n"/>
      <c r="K100" s="22" t="n"/>
      <c r="L100" s="22" t="n"/>
      <c r="M100" s="23" t="n"/>
      <c r="N100" s="23">
        <f>IF(B100="","",WORKDAY(B100,3))</f>
        <v/>
      </c>
      <c r="O100" s="23">
        <f>IF(B100="","",B100+56)</f>
        <v/>
      </c>
      <c r="P100" s="23">
        <f>IF(OR(B100="",L100&lt;&gt;"Yes"),"",WORKDAY(B100,15))</f>
        <v/>
      </c>
      <c r="Q100" s="23">
        <f>IF(OR(B100="",L100&lt;&gt;"Yes"),"",WORKDAY(B100,35))</f>
        <v/>
      </c>
      <c r="R100" s="23">
        <f>IF(OR(B100="",K100&lt;&gt;"Yes"),"",B100+30)</f>
        <v/>
      </c>
      <c r="S100" s="22" t="n"/>
      <c r="T100" s="23" t="n"/>
      <c r="U100" s="22" t="n"/>
      <c r="V100" s="22" t="n"/>
      <c r="W100" s="23" t="n"/>
      <c r="X100" s="22" t="n"/>
      <c r="Y100" s="22" t="n"/>
      <c r="Z100" s="22" t="n"/>
      <c r="AA100" s="22" t="n"/>
      <c r="AB100" s="22" t="n"/>
    </row>
    <row r="101" ht="24" customHeight="1">
      <c r="A101" s="22" t="inlineStr">
        <is>
          <t>CR-096</t>
        </is>
      </c>
      <c r="B101" s="23" t="n"/>
      <c r="C101" s="22" t="n"/>
      <c r="D101" s="22" t="n"/>
      <c r="E101" s="22" t="n"/>
      <c r="F101" s="22" t="n"/>
      <c r="G101" s="22" t="n"/>
      <c r="H101" s="22" t="n"/>
      <c r="I101" s="22" t="n"/>
      <c r="J101" s="22" t="n"/>
      <c r="K101" s="22" t="n"/>
      <c r="L101" s="22" t="n"/>
      <c r="M101" s="23" t="n"/>
      <c r="N101" s="23">
        <f>IF(B101="","",WORKDAY(B101,3))</f>
        <v/>
      </c>
      <c r="O101" s="23">
        <f>IF(B101="","",B101+56)</f>
        <v/>
      </c>
      <c r="P101" s="23">
        <f>IF(OR(B101="",L101&lt;&gt;"Yes"),"",WORKDAY(B101,15))</f>
        <v/>
      </c>
      <c r="Q101" s="23">
        <f>IF(OR(B101="",L101&lt;&gt;"Yes"),"",WORKDAY(B101,35))</f>
        <v/>
      </c>
      <c r="R101" s="23">
        <f>IF(OR(B101="",K101&lt;&gt;"Yes"),"",B101+30)</f>
        <v/>
      </c>
      <c r="S101" s="22" t="n"/>
      <c r="T101" s="23" t="n"/>
      <c r="U101" s="22" t="n"/>
      <c r="V101" s="22" t="n"/>
      <c r="W101" s="23" t="n"/>
      <c r="X101" s="22" t="n"/>
      <c r="Y101" s="22" t="n"/>
      <c r="Z101" s="22" t="n"/>
      <c r="AA101" s="22" t="n"/>
      <c r="AB101" s="22" t="n"/>
    </row>
    <row r="102" ht="24" customHeight="1">
      <c r="A102" s="22" t="inlineStr">
        <is>
          <t>CR-097</t>
        </is>
      </c>
      <c r="B102" s="23" t="n"/>
      <c r="C102" s="22" t="n"/>
      <c r="D102" s="22" t="n"/>
      <c r="E102" s="22" t="n"/>
      <c r="F102" s="22" t="n"/>
      <c r="G102" s="22" t="n"/>
      <c r="H102" s="22" t="n"/>
      <c r="I102" s="22" t="n"/>
      <c r="J102" s="22" t="n"/>
      <c r="K102" s="22" t="n"/>
      <c r="L102" s="22" t="n"/>
      <c r="M102" s="23" t="n"/>
      <c r="N102" s="23">
        <f>IF(B102="","",WORKDAY(B102,3))</f>
        <v/>
      </c>
      <c r="O102" s="23">
        <f>IF(B102="","",B102+56)</f>
        <v/>
      </c>
      <c r="P102" s="23">
        <f>IF(OR(B102="",L102&lt;&gt;"Yes"),"",WORKDAY(B102,15))</f>
        <v/>
      </c>
      <c r="Q102" s="23">
        <f>IF(OR(B102="",L102&lt;&gt;"Yes"),"",WORKDAY(B102,35))</f>
        <v/>
      </c>
      <c r="R102" s="23">
        <f>IF(OR(B102="",K102&lt;&gt;"Yes"),"",B102+30)</f>
        <v/>
      </c>
      <c r="S102" s="22" t="n"/>
      <c r="T102" s="23" t="n"/>
      <c r="U102" s="22" t="n"/>
      <c r="V102" s="22" t="n"/>
      <c r="W102" s="23" t="n"/>
      <c r="X102" s="22" t="n"/>
      <c r="Y102" s="22" t="n"/>
      <c r="Z102" s="22" t="n"/>
      <c r="AA102" s="22" t="n"/>
      <c r="AB102" s="22" t="n"/>
    </row>
    <row r="103" ht="24" customHeight="1">
      <c r="A103" s="22" t="inlineStr">
        <is>
          <t>CR-098</t>
        </is>
      </c>
      <c r="B103" s="23" t="n"/>
      <c r="C103" s="22" t="n"/>
      <c r="D103" s="22" t="n"/>
      <c r="E103" s="22" t="n"/>
      <c r="F103" s="22" t="n"/>
      <c r="G103" s="22" t="n"/>
      <c r="H103" s="22" t="n"/>
      <c r="I103" s="22" t="n"/>
      <c r="J103" s="22" t="n"/>
      <c r="K103" s="22" t="n"/>
      <c r="L103" s="22" t="n"/>
      <c r="M103" s="23" t="n"/>
      <c r="N103" s="23">
        <f>IF(B103="","",WORKDAY(B103,3))</f>
        <v/>
      </c>
      <c r="O103" s="23">
        <f>IF(B103="","",B103+56)</f>
        <v/>
      </c>
      <c r="P103" s="23">
        <f>IF(OR(B103="",L103&lt;&gt;"Yes"),"",WORKDAY(B103,15))</f>
        <v/>
      </c>
      <c r="Q103" s="23">
        <f>IF(OR(B103="",L103&lt;&gt;"Yes"),"",WORKDAY(B103,35))</f>
        <v/>
      </c>
      <c r="R103" s="23">
        <f>IF(OR(B103="",K103&lt;&gt;"Yes"),"",B103+30)</f>
        <v/>
      </c>
      <c r="S103" s="22" t="n"/>
      <c r="T103" s="23" t="n"/>
      <c r="U103" s="22" t="n"/>
      <c r="V103" s="22" t="n"/>
      <c r="W103" s="23" t="n"/>
      <c r="X103" s="22" t="n"/>
      <c r="Y103" s="22" t="n"/>
      <c r="Z103" s="22" t="n"/>
      <c r="AA103" s="22" t="n"/>
      <c r="AB103" s="22" t="n"/>
    </row>
    <row r="104" ht="24" customHeight="1">
      <c r="A104" s="22" t="inlineStr">
        <is>
          <t>CR-099</t>
        </is>
      </c>
      <c r="B104" s="23" t="n"/>
      <c r="C104" s="22" t="n"/>
      <c r="D104" s="22" t="n"/>
      <c r="E104" s="22" t="n"/>
      <c r="F104" s="22" t="n"/>
      <c r="G104" s="22" t="n"/>
      <c r="H104" s="22" t="n"/>
      <c r="I104" s="22" t="n"/>
      <c r="J104" s="22" t="n"/>
      <c r="K104" s="22" t="n"/>
      <c r="L104" s="22" t="n"/>
      <c r="M104" s="23" t="n"/>
      <c r="N104" s="23">
        <f>IF(B104="","",WORKDAY(B104,3))</f>
        <v/>
      </c>
      <c r="O104" s="23">
        <f>IF(B104="","",B104+56)</f>
        <v/>
      </c>
      <c r="P104" s="23">
        <f>IF(OR(B104="",L104&lt;&gt;"Yes"),"",WORKDAY(B104,15))</f>
        <v/>
      </c>
      <c r="Q104" s="23">
        <f>IF(OR(B104="",L104&lt;&gt;"Yes"),"",WORKDAY(B104,35))</f>
        <v/>
      </c>
      <c r="R104" s="23">
        <f>IF(OR(B104="",K104&lt;&gt;"Yes"),"",B104+30)</f>
        <v/>
      </c>
      <c r="S104" s="22" t="n"/>
      <c r="T104" s="23" t="n"/>
      <c r="U104" s="22" t="n"/>
      <c r="V104" s="22" t="n"/>
      <c r="W104" s="23" t="n"/>
      <c r="X104" s="22" t="n"/>
      <c r="Y104" s="22" t="n"/>
      <c r="Z104" s="22" t="n"/>
      <c r="AA104" s="22" t="n"/>
      <c r="AB104" s="22" t="n"/>
    </row>
    <row r="105" ht="24" customHeight="1">
      <c r="A105" s="22" t="inlineStr">
        <is>
          <t>CR-100</t>
        </is>
      </c>
      <c r="B105" s="23" t="n"/>
      <c r="C105" s="22" t="n"/>
      <c r="D105" s="22" t="n"/>
      <c r="E105" s="22" t="n"/>
      <c r="F105" s="22" t="n"/>
      <c r="G105" s="22" t="n"/>
      <c r="H105" s="22" t="n"/>
      <c r="I105" s="22" t="n"/>
      <c r="J105" s="22" t="n"/>
      <c r="K105" s="22" t="n"/>
      <c r="L105" s="22" t="n"/>
      <c r="M105" s="23" t="n"/>
      <c r="N105" s="23">
        <f>IF(B105="","",WORKDAY(B105,3))</f>
        <v/>
      </c>
      <c r="O105" s="23">
        <f>IF(B105="","",B105+56)</f>
        <v/>
      </c>
      <c r="P105" s="23">
        <f>IF(OR(B105="",L105&lt;&gt;"Yes"),"",WORKDAY(B105,15))</f>
        <v/>
      </c>
      <c r="Q105" s="23">
        <f>IF(OR(B105="",L105&lt;&gt;"Yes"),"",WORKDAY(B105,35))</f>
        <v/>
      </c>
      <c r="R105" s="23">
        <f>IF(OR(B105="",K105&lt;&gt;"Yes"),"",B105+30)</f>
        <v/>
      </c>
      <c r="S105" s="22" t="n"/>
      <c r="T105" s="23" t="n"/>
      <c r="U105" s="22" t="n"/>
      <c r="V105" s="22" t="n"/>
      <c r="W105" s="23" t="n"/>
      <c r="X105" s="22" t="n"/>
      <c r="Y105" s="22" t="n"/>
      <c r="Z105" s="22" t="n"/>
      <c r="AA105" s="22" t="n"/>
      <c r="AB105" s="22" t="n"/>
    </row>
    <row r="106" ht="24" customHeight="1">
      <c r="A106" s="22" t="inlineStr">
        <is>
          <t>CR-101</t>
        </is>
      </c>
      <c r="B106" s="23" t="n"/>
      <c r="C106" s="22" t="n"/>
      <c r="D106" s="22" t="n"/>
      <c r="E106" s="22" t="n"/>
      <c r="F106" s="22" t="n"/>
      <c r="G106" s="22" t="n"/>
      <c r="H106" s="22" t="n"/>
      <c r="I106" s="22" t="n"/>
      <c r="J106" s="22" t="n"/>
      <c r="K106" s="22" t="n"/>
      <c r="L106" s="22" t="n"/>
      <c r="M106" s="23" t="n"/>
      <c r="N106" s="23">
        <f>IF(B106="","",WORKDAY(B106,3))</f>
        <v/>
      </c>
      <c r="O106" s="23">
        <f>IF(B106="","",B106+56)</f>
        <v/>
      </c>
      <c r="P106" s="23">
        <f>IF(OR(B106="",L106&lt;&gt;"Yes"),"",WORKDAY(B106,15))</f>
        <v/>
      </c>
      <c r="Q106" s="23">
        <f>IF(OR(B106="",L106&lt;&gt;"Yes"),"",WORKDAY(B106,35))</f>
        <v/>
      </c>
      <c r="R106" s="23">
        <f>IF(OR(B106="",K106&lt;&gt;"Yes"),"",B106+30)</f>
        <v/>
      </c>
      <c r="S106" s="22" t="n"/>
      <c r="T106" s="23" t="n"/>
      <c r="U106" s="22" t="n"/>
      <c r="V106" s="22" t="n"/>
      <c r="W106" s="23" t="n"/>
      <c r="X106" s="22" t="n"/>
      <c r="Y106" s="22" t="n"/>
      <c r="Z106" s="22" t="n"/>
      <c r="AA106" s="22" t="n"/>
      <c r="AB106" s="22" t="n"/>
    </row>
    <row r="107" ht="24" customHeight="1">
      <c r="A107" s="22" t="inlineStr">
        <is>
          <t>CR-102</t>
        </is>
      </c>
      <c r="B107" s="23" t="n"/>
      <c r="C107" s="22" t="n"/>
      <c r="D107" s="22" t="n"/>
      <c r="E107" s="22" t="n"/>
      <c r="F107" s="22" t="n"/>
      <c r="G107" s="22" t="n"/>
      <c r="H107" s="22" t="n"/>
      <c r="I107" s="22" t="n"/>
      <c r="J107" s="22" t="n"/>
      <c r="K107" s="22" t="n"/>
      <c r="L107" s="22" t="n"/>
      <c r="M107" s="23" t="n"/>
      <c r="N107" s="23">
        <f>IF(B107="","",WORKDAY(B107,3))</f>
        <v/>
      </c>
      <c r="O107" s="23">
        <f>IF(B107="","",B107+56)</f>
        <v/>
      </c>
      <c r="P107" s="23">
        <f>IF(OR(B107="",L107&lt;&gt;"Yes"),"",WORKDAY(B107,15))</f>
        <v/>
      </c>
      <c r="Q107" s="23">
        <f>IF(OR(B107="",L107&lt;&gt;"Yes"),"",WORKDAY(B107,35))</f>
        <v/>
      </c>
      <c r="R107" s="23">
        <f>IF(OR(B107="",K107&lt;&gt;"Yes"),"",B107+30)</f>
        <v/>
      </c>
      <c r="S107" s="22" t="n"/>
      <c r="T107" s="23" t="n"/>
      <c r="U107" s="22" t="n"/>
      <c r="V107" s="22" t="n"/>
      <c r="W107" s="23" t="n"/>
      <c r="X107" s="22" t="n"/>
      <c r="Y107" s="22" t="n"/>
      <c r="Z107" s="22" t="n"/>
      <c r="AA107" s="22" t="n"/>
      <c r="AB107" s="22" t="n"/>
    </row>
    <row r="108" ht="24" customHeight="1">
      <c r="A108" s="22" t="inlineStr">
        <is>
          <t>CR-103</t>
        </is>
      </c>
      <c r="B108" s="23" t="n"/>
      <c r="C108" s="22" t="n"/>
      <c r="D108" s="22" t="n"/>
      <c r="E108" s="22" t="n"/>
      <c r="F108" s="22" t="n"/>
      <c r="G108" s="22" t="n"/>
      <c r="H108" s="22" t="n"/>
      <c r="I108" s="22" t="n"/>
      <c r="J108" s="22" t="n"/>
      <c r="K108" s="22" t="n"/>
      <c r="L108" s="22" t="n"/>
      <c r="M108" s="23" t="n"/>
      <c r="N108" s="23">
        <f>IF(B108="","",WORKDAY(B108,3))</f>
        <v/>
      </c>
      <c r="O108" s="23">
        <f>IF(B108="","",B108+56)</f>
        <v/>
      </c>
      <c r="P108" s="23">
        <f>IF(OR(B108="",L108&lt;&gt;"Yes"),"",WORKDAY(B108,15))</f>
        <v/>
      </c>
      <c r="Q108" s="23">
        <f>IF(OR(B108="",L108&lt;&gt;"Yes"),"",WORKDAY(B108,35))</f>
        <v/>
      </c>
      <c r="R108" s="23">
        <f>IF(OR(B108="",K108&lt;&gt;"Yes"),"",B108+30)</f>
        <v/>
      </c>
      <c r="S108" s="22" t="n"/>
      <c r="T108" s="23" t="n"/>
      <c r="U108" s="22" t="n"/>
      <c r="V108" s="22" t="n"/>
      <c r="W108" s="23" t="n"/>
      <c r="X108" s="22" t="n"/>
      <c r="Y108" s="22" t="n"/>
      <c r="Z108" s="22" t="n"/>
      <c r="AA108" s="22" t="n"/>
      <c r="AB108" s="22" t="n"/>
    </row>
    <row r="109" ht="24" customHeight="1">
      <c r="A109" s="22" t="inlineStr">
        <is>
          <t>CR-104</t>
        </is>
      </c>
      <c r="B109" s="23" t="n"/>
      <c r="C109" s="22" t="n"/>
      <c r="D109" s="22" t="n"/>
      <c r="E109" s="22" t="n"/>
      <c r="F109" s="22" t="n"/>
      <c r="G109" s="22" t="n"/>
      <c r="H109" s="22" t="n"/>
      <c r="I109" s="22" t="n"/>
      <c r="J109" s="22" t="n"/>
      <c r="K109" s="22" t="n"/>
      <c r="L109" s="22" t="n"/>
      <c r="M109" s="23" t="n"/>
      <c r="N109" s="23">
        <f>IF(B109="","",WORKDAY(B109,3))</f>
        <v/>
      </c>
      <c r="O109" s="23">
        <f>IF(B109="","",B109+56)</f>
        <v/>
      </c>
      <c r="P109" s="23">
        <f>IF(OR(B109="",L109&lt;&gt;"Yes"),"",WORKDAY(B109,15))</f>
        <v/>
      </c>
      <c r="Q109" s="23">
        <f>IF(OR(B109="",L109&lt;&gt;"Yes"),"",WORKDAY(B109,35))</f>
        <v/>
      </c>
      <c r="R109" s="23">
        <f>IF(OR(B109="",K109&lt;&gt;"Yes"),"",B109+30)</f>
        <v/>
      </c>
      <c r="S109" s="22" t="n"/>
      <c r="T109" s="23" t="n"/>
      <c r="U109" s="22" t="n"/>
      <c r="V109" s="22" t="n"/>
      <c r="W109" s="23" t="n"/>
      <c r="X109" s="22" t="n"/>
      <c r="Y109" s="22" t="n"/>
      <c r="Z109" s="22" t="n"/>
      <c r="AA109" s="22" t="n"/>
      <c r="AB109" s="22" t="n"/>
    </row>
    <row r="110" ht="24" customHeight="1">
      <c r="A110" s="22" t="inlineStr">
        <is>
          <t>CR-105</t>
        </is>
      </c>
      <c r="B110" s="23" t="n"/>
      <c r="C110" s="22" t="n"/>
      <c r="D110" s="22" t="n"/>
      <c r="E110" s="22" t="n"/>
      <c r="F110" s="22" t="n"/>
      <c r="G110" s="22" t="n"/>
      <c r="H110" s="22" t="n"/>
      <c r="I110" s="22" t="n"/>
      <c r="J110" s="22" t="n"/>
      <c r="K110" s="22" t="n"/>
      <c r="L110" s="22" t="n"/>
      <c r="M110" s="23" t="n"/>
      <c r="N110" s="23">
        <f>IF(B110="","",WORKDAY(B110,3))</f>
        <v/>
      </c>
      <c r="O110" s="23">
        <f>IF(B110="","",B110+56)</f>
        <v/>
      </c>
      <c r="P110" s="23">
        <f>IF(OR(B110="",L110&lt;&gt;"Yes"),"",WORKDAY(B110,15))</f>
        <v/>
      </c>
      <c r="Q110" s="23">
        <f>IF(OR(B110="",L110&lt;&gt;"Yes"),"",WORKDAY(B110,35))</f>
        <v/>
      </c>
      <c r="R110" s="23">
        <f>IF(OR(B110="",K110&lt;&gt;"Yes"),"",B110+30)</f>
        <v/>
      </c>
      <c r="S110" s="22" t="n"/>
      <c r="T110" s="23" t="n"/>
      <c r="U110" s="22" t="n"/>
      <c r="V110" s="22" t="n"/>
      <c r="W110" s="23" t="n"/>
      <c r="X110" s="22" t="n"/>
      <c r="Y110" s="22" t="n"/>
      <c r="Z110" s="22" t="n"/>
      <c r="AA110" s="22" t="n"/>
      <c r="AB110" s="22" t="n"/>
    </row>
    <row r="111" ht="24" customHeight="1">
      <c r="A111" s="22" t="inlineStr">
        <is>
          <t>CR-106</t>
        </is>
      </c>
      <c r="B111" s="23" t="n"/>
      <c r="C111" s="22" t="n"/>
      <c r="D111" s="22" t="n"/>
      <c r="E111" s="22" t="n"/>
      <c r="F111" s="22" t="n"/>
      <c r="G111" s="22" t="n"/>
      <c r="H111" s="22" t="n"/>
      <c r="I111" s="22" t="n"/>
      <c r="J111" s="22" t="n"/>
      <c r="K111" s="22" t="n"/>
      <c r="L111" s="22" t="n"/>
      <c r="M111" s="23" t="n"/>
      <c r="N111" s="23">
        <f>IF(B111="","",WORKDAY(B111,3))</f>
        <v/>
      </c>
      <c r="O111" s="23">
        <f>IF(B111="","",B111+56)</f>
        <v/>
      </c>
      <c r="P111" s="23">
        <f>IF(OR(B111="",L111&lt;&gt;"Yes"),"",WORKDAY(B111,15))</f>
        <v/>
      </c>
      <c r="Q111" s="23">
        <f>IF(OR(B111="",L111&lt;&gt;"Yes"),"",WORKDAY(B111,35))</f>
        <v/>
      </c>
      <c r="R111" s="23">
        <f>IF(OR(B111="",K111&lt;&gt;"Yes"),"",B111+30)</f>
        <v/>
      </c>
      <c r="S111" s="22" t="n"/>
      <c r="T111" s="23" t="n"/>
      <c r="U111" s="22" t="n"/>
      <c r="V111" s="22" t="n"/>
      <c r="W111" s="23" t="n"/>
      <c r="X111" s="22" t="n"/>
      <c r="Y111" s="22" t="n"/>
      <c r="Z111" s="22" t="n"/>
      <c r="AA111" s="22" t="n"/>
      <c r="AB111" s="22" t="n"/>
    </row>
    <row r="112" ht="24" customHeight="1">
      <c r="A112" s="22" t="inlineStr">
        <is>
          <t>CR-107</t>
        </is>
      </c>
      <c r="B112" s="23" t="n"/>
      <c r="C112" s="22" t="n"/>
      <c r="D112" s="22" t="n"/>
      <c r="E112" s="22" t="n"/>
      <c r="F112" s="22" t="n"/>
      <c r="G112" s="22" t="n"/>
      <c r="H112" s="22" t="n"/>
      <c r="I112" s="22" t="n"/>
      <c r="J112" s="22" t="n"/>
      <c r="K112" s="22" t="n"/>
      <c r="L112" s="22" t="n"/>
      <c r="M112" s="23" t="n"/>
      <c r="N112" s="23">
        <f>IF(B112="","",WORKDAY(B112,3))</f>
        <v/>
      </c>
      <c r="O112" s="23">
        <f>IF(B112="","",B112+56)</f>
        <v/>
      </c>
      <c r="P112" s="23">
        <f>IF(OR(B112="",L112&lt;&gt;"Yes"),"",WORKDAY(B112,15))</f>
        <v/>
      </c>
      <c r="Q112" s="23">
        <f>IF(OR(B112="",L112&lt;&gt;"Yes"),"",WORKDAY(B112,35))</f>
        <v/>
      </c>
      <c r="R112" s="23">
        <f>IF(OR(B112="",K112&lt;&gt;"Yes"),"",B112+30)</f>
        <v/>
      </c>
      <c r="S112" s="22" t="n"/>
      <c r="T112" s="23" t="n"/>
      <c r="U112" s="22" t="n"/>
      <c r="V112" s="22" t="n"/>
      <c r="W112" s="23" t="n"/>
      <c r="X112" s="22" t="n"/>
      <c r="Y112" s="22" t="n"/>
      <c r="Z112" s="22" t="n"/>
      <c r="AA112" s="22" t="n"/>
      <c r="AB112" s="22" t="n"/>
    </row>
    <row r="113" ht="24" customHeight="1">
      <c r="A113" s="22" t="inlineStr">
        <is>
          <t>CR-108</t>
        </is>
      </c>
      <c r="B113" s="23" t="n"/>
      <c r="C113" s="22" t="n"/>
      <c r="D113" s="22" t="n"/>
      <c r="E113" s="22" t="n"/>
      <c r="F113" s="22" t="n"/>
      <c r="G113" s="22" t="n"/>
      <c r="H113" s="22" t="n"/>
      <c r="I113" s="22" t="n"/>
      <c r="J113" s="22" t="n"/>
      <c r="K113" s="22" t="n"/>
      <c r="L113" s="22" t="n"/>
      <c r="M113" s="23" t="n"/>
      <c r="N113" s="23">
        <f>IF(B113="","",WORKDAY(B113,3))</f>
        <v/>
      </c>
      <c r="O113" s="23">
        <f>IF(B113="","",B113+56)</f>
        <v/>
      </c>
      <c r="P113" s="23">
        <f>IF(OR(B113="",L113&lt;&gt;"Yes"),"",WORKDAY(B113,15))</f>
        <v/>
      </c>
      <c r="Q113" s="23">
        <f>IF(OR(B113="",L113&lt;&gt;"Yes"),"",WORKDAY(B113,35))</f>
        <v/>
      </c>
      <c r="R113" s="23">
        <f>IF(OR(B113="",K113&lt;&gt;"Yes"),"",B113+30)</f>
        <v/>
      </c>
      <c r="S113" s="22" t="n"/>
      <c r="T113" s="23" t="n"/>
      <c r="U113" s="22" t="n"/>
      <c r="V113" s="22" t="n"/>
      <c r="W113" s="23" t="n"/>
      <c r="X113" s="22" t="n"/>
      <c r="Y113" s="22" t="n"/>
      <c r="Z113" s="22" t="n"/>
      <c r="AA113" s="22" t="n"/>
      <c r="AB113" s="22" t="n"/>
    </row>
    <row r="114" ht="24" customHeight="1">
      <c r="A114" s="22" t="inlineStr">
        <is>
          <t>CR-109</t>
        </is>
      </c>
      <c r="B114" s="23" t="n"/>
      <c r="C114" s="22" t="n"/>
      <c r="D114" s="22" t="n"/>
      <c r="E114" s="22" t="n"/>
      <c r="F114" s="22" t="n"/>
      <c r="G114" s="22" t="n"/>
      <c r="H114" s="22" t="n"/>
      <c r="I114" s="22" t="n"/>
      <c r="J114" s="22" t="n"/>
      <c r="K114" s="22" t="n"/>
      <c r="L114" s="22" t="n"/>
      <c r="M114" s="23" t="n"/>
      <c r="N114" s="23">
        <f>IF(B114="","",WORKDAY(B114,3))</f>
        <v/>
      </c>
      <c r="O114" s="23">
        <f>IF(B114="","",B114+56)</f>
        <v/>
      </c>
      <c r="P114" s="23">
        <f>IF(OR(B114="",L114&lt;&gt;"Yes"),"",WORKDAY(B114,15))</f>
        <v/>
      </c>
      <c r="Q114" s="23">
        <f>IF(OR(B114="",L114&lt;&gt;"Yes"),"",WORKDAY(B114,35))</f>
        <v/>
      </c>
      <c r="R114" s="23">
        <f>IF(OR(B114="",K114&lt;&gt;"Yes"),"",B114+30)</f>
        <v/>
      </c>
      <c r="S114" s="22" t="n"/>
      <c r="T114" s="23" t="n"/>
      <c r="U114" s="22" t="n"/>
      <c r="V114" s="22" t="n"/>
      <c r="W114" s="23" t="n"/>
      <c r="X114" s="22" t="n"/>
      <c r="Y114" s="22" t="n"/>
      <c r="Z114" s="22" t="n"/>
      <c r="AA114" s="22" t="n"/>
      <c r="AB114" s="22" t="n"/>
    </row>
    <row r="115" ht="24" customHeight="1">
      <c r="A115" s="22" t="inlineStr">
        <is>
          <t>CR-110</t>
        </is>
      </c>
      <c r="B115" s="23" t="n"/>
      <c r="C115" s="22" t="n"/>
      <c r="D115" s="22" t="n"/>
      <c r="E115" s="22" t="n"/>
      <c r="F115" s="22" t="n"/>
      <c r="G115" s="22" t="n"/>
      <c r="H115" s="22" t="n"/>
      <c r="I115" s="22" t="n"/>
      <c r="J115" s="22" t="n"/>
      <c r="K115" s="22" t="n"/>
      <c r="L115" s="22" t="n"/>
      <c r="M115" s="23" t="n"/>
      <c r="N115" s="23">
        <f>IF(B115="","",WORKDAY(B115,3))</f>
        <v/>
      </c>
      <c r="O115" s="23">
        <f>IF(B115="","",B115+56)</f>
        <v/>
      </c>
      <c r="P115" s="23">
        <f>IF(OR(B115="",L115&lt;&gt;"Yes"),"",WORKDAY(B115,15))</f>
        <v/>
      </c>
      <c r="Q115" s="23">
        <f>IF(OR(B115="",L115&lt;&gt;"Yes"),"",WORKDAY(B115,35))</f>
        <v/>
      </c>
      <c r="R115" s="23">
        <f>IF(OR(B115="",K115&lt;&gt;"Yes"),"",B115+30)</f>
        <v/>
      </c>
      <c r="S115" s="22" t="n"/>
      <c r="T115" s="23" t="n"/>
      <c r="U115" s="22" t="n"/>
      <c r="V115" s="22" t="n"/>
      <c r="W115" s="23" t="n"/>
      <c r="X115" s="22" t="n"/>
      <c r="Y115" s="22" t="n"/>
      <c r="Z115" s="22" t="n"/>
      <c r="AA115" s="22" t="n"/>
      <c r="AB115" s="22" t="n"/>
    </row>
    <row r="116" ht="24" customHeight="1">
      <c r="A116" s="22" t="inlineStr">
        <is>
          <t>CR-111</t>
        </is>
      </c>
      <c r="B116" s="23" t="n"/>
      <c r="C116" s="22" t="n"/>
      <c r="D116" s="22" t="n"/>
      <c r="E116" s="22" t="n"/>
      <c r="F116" s="22" t="n"/>
      <c r="G116" s="22" t="n"/>
      <c r="H116" s="22" t="n"/>
      <c r="I116" s="22" t="n"/>
      <c r="J116" s="22" t="n"/>
      <c r="K116" s="22" t="n"/>
      <c r="L116" s="22" t="n"/>
      <c r="M116" s="23" t="n"/>
      <c r="N116" s="23">
        <f>IF(B116="","",WORKDAY(B116,3))</f>
        <v/>
      </c>
      <c r="O116" s="23">
        <f>IF(B116="","",B116+56)</f>
        <v/>
      </c>
      <c r="P116" s="23">
        <f>IF(OR(B116="",L116&lt;&gt;"Yes"),"",WORKDAY(B116,15))</f>
        <v/>
      </c>
      <c r="Q116" s="23">
        <f>IF(OR(B116="",L116&lt;&gt;"Yes"),"",WORKDAY(B116,35))</f>
        <v/>
      </c>
      <c r="R116" s="23">
        <f>IF(OR(B116="",K116&lt;&gt;"Yes"),"",B116+30)</f>
        <v/>
      </c>
      <c r="S116" s="22" t="n"/>
      <c r="T116" s="23" t="n"/>
      <c r="U116" s="22" t="n"/>
      <c r="V116" s="22" t="n"/>
      <c r="W116" s="23" t="n"/>
      <c r="X116" s="22" t="n"/>
      <c r="Y116" s="22" t="n"/>
      <c r="Z116" s="22" t="n"/>
      <c r="AA116" s="22" t="n"/>
      <c r="AB116" s="22" t="n"/>
    </row>
    <row r="117" ht="24" customHeight="1">
      <c r="A117" s="22" t="inlineStr">
        <is>
          <t>CR-112</t>
        </is>
      </c>
      <c r="B117" s="23" t="n"/>
      <c r="C117" s="22" t="n"/>
      <c r="D117" s="22" t="n"/>
      <c r="E117" s="22" t="n"/>
      <c r="F117" s="22" t="n"/>
      <c r="G117" s="22" t="n"/>
      <c r="H117" s="22" t="n"/>
      <c r="I117" s="22" t="n"/>
      <c r="J117" s="22" t="n"/>
      <c r="K117" s="22" t="n"/>
      <c r="L117" s="22" t="n"/>
      <c r="M117" s="23" t="n"/>
      <c r="N117" s="23">
        <f>IF(B117="","",WORKDAY(B117,3))</f>
        <v/>
      </c>
      <c r="O117" s="23">
        <f>IF(B117="","",B117+56)</f>
        <v/>
      </c>
      <c r="P117" s="23">
        <f>IF(OR(B117="",L117&lt;&gt;"Yes"),"",WORKDAY(B117,15))</f>
        <v/>
      </c>
      <c r="Q117" s="23">
        <f>IF(OR(B117="",L117&lt;&gt;"Yes"),"",WORKDAY(B117,35))</f>
        <v/>
      </c>
      <c r="R117" s="23">
        <f>IF(OR(B117="",K117&lt;&gt;"Yes"),"",B117+30)</f>
        <v/>
      </c>
      <c r="S117" s="22" t="n"/>
      <c r="T117" s="23" t="n"/>
      <c r="U117" s="22" t="n"/>
      <c r="V117" s="22" t="n"/>
      <c r="W117" s="23" t="n"/>
      <c r="X117" s="22" t="n"/>
      <c r="Y117" s="22" t="n"/>
      <c r="Z117" s="22" t="n"/>
      <c r="AA117" s="22" t="n"/>
      <c r="AB117" s="22" t="n"/>
    </row>
    <row r="118" ht="24" customHeight="1">
      <c r="A118" s="22" t="inlineStr">
        <is>
          <t>CR-113</t>
        </is>
      </c>
      <c r="B118" s="23" t="n"/>
      <c r="C118" s="22" t="n"/>
      <c r="D118" s="22" t="n"/>
      <c r="E118" s="22" t="n"/>
      <c r="F118" s="22" t="n"/>
      <c r="G118" s="22" t="n"/>
      <c r="H118" s="22" t="n"/>
      <c r="I118" s="22" t="n"/>
      <c r="J118" s="22" t="n"/>
      <c r="K118" s="22" t="n"/>
      <c r="L118" s="22" t="n"/>
      <c r="M118" s="23" t="n"/>
      <c r="N118" s="23">
        <f>IF(B118="","",WORKDAY(B118,3))</f>
        <v/>
      </c>
      <c r="O118" s="23">
        <f>IF(B118="","",B118+56)</f>
        <v/>
      </c>
      <c r="P118" s="23">
        <f>IF(OR(B118="",L118&lt;&gt;"Yes"),"",WORKDAY(B118,15))</f>
        <v/>
      </c>
      <c r="Q118" s="23">
        <f>IF(OR(B118="",L118&lt;&gt;"Yes"),"",WORKDAY(B118,35))</f>
        <v/>
      </c>
      <c r="R118" s="23">
        <f>IF(OR(B118="",K118&lt;&gt;"Yes"),"",B118+30)</f>
        <v/>
      </c>
      <c r="S118" s="22" t="n"/>
      <c r="T118" s="23" t="n"/>
      <c r="U118" s="22" t="n"/>
      <c r="V118" s="22" t="n"/>
      <c r="W118" s="23" t="n"/>
      <c r="X118" s="22" t="n"/>
      <c r="Y118" s="22" t="n"/>
      <c r="Z118" s="22" t="n"/>
      <c r="AA118" s="22" t="n"/>
      <c r="AB118" s="22" t="n"/>
    </row>
    <row r="119" ht="24" customHeight="1">
      <c r="A119" s="22" t="inlineStr">
        <is>
          <t>CR-114</t>
        </is>
      </c>
      <c r="B119" s="23" t="n"/>
      <c r="C119" s="22" t="n"/>
      <c r="D119" s="22" t="n"/>
      <c r="E119" s="22" t="n"/>
      <c r="F119" s="22" t="n"/>
      <c r="G119" s="22" t="n"/>
      <c r="H119" s="22" t="n"/>
      <c r="I119" s="22" t="n"/>
      <c r="J119" s="22" t="n"/>
      <c r="K119" s="22" t="n"/>
      <c r="L119" s="22" t="n"/>
      <c r="M119" s="23" t="n"/>
      <c r="N119" s="23">
        <f>IF(B119="","",WORKDAY(B119,3))</f>
        <v/>
      </c>
      <c r="O119" s="23">
        <f>IF(B119="","",B119+56)</f>
        <v/>
      </c>
      <c r="P119" s="23">
        <f>IF(OR(B119="",L119&lt;&gt;"Yes"),"",WORKDAY(B119,15))</f>
        <v/>
      </c>
      <c r="Q119" s="23">
        <f>IF(OR(B119="",L119&lt;&gt;"Yes"),"",WORKDAY(B119,35))</f>
        <v/>
      </c>
      <c r="R119" s="23">
        <f>IF(OR(B119="",K119&lt;&gt;"Yes"),"",B119+30)</f>
        <v/>
      </c>
      <c r="S119" s="22" t="n"/>
      <c r="T119" s="23" t="n"/>
      <c r="U119" s="22" t="n"/>
      <c r="V119" s="22" t="n"/>
      <c r="W119" s="23" t="n"/>
      <c r="X119" s="22" t="n"/>
      <c r="Y119" s="22" t="n"/>
      <c r="Z119" s="22" t="n"/>
      <c r="AA119" s="22" t="n"/>
      <c r="AB119" s="22" t="n"/>
    </row>
    <row r="120" ht="24" customHeight="1">
      <c r="A120" s="22" t="inlineStr">
        <is>
          <t>CR-115</t>
        </is>
      </c>
      <c r="B120" s="23" t="n"/>
      <c r="C120" s="22" t="n"/>
      <c r="D120" s="22" t="n"/>
      <c r="E120" s="22" t="n"/>
      <c r="F120" s="22" t="n"/>
      <c r="G120" s="22" t="n"/>
      <c r="H120" s="22" t="n"/>
      <c r="I120" s="22" t="n"/>
      <c r="J120" s="22" t="n"/>
      <c r="K120" s="22" t="n"/>
      <c r="L120" s="22" t="n"/>
      <c r="M120" s="23" t="n"/>
      <c r="N120" s="23">
        <f>IF(B120="","",WORKDAY(B120,3))</f>
        <v/>
      </c>
      <c r="O120" s="23">
        <f>IF(B120="","",B120+56)</f>
        <v/>
      </c>
      <c r="P120" s="23">
        <f>IF(OR(B120="",L120&lt;&gt;"Yes"),"",WORKDAY(B120,15))</f>
        <v/>
      </c>
      <c r="Q120" s="23">
        <f>IF(OR(B120="",L120&lt;&gt;"Yes"),"",WORKDAY(B120,35))</f>
        <v/>
      </c>
      <c r="R120" s="23">
        <f>IF(OR(B120="",K120&lt;&gt;"Yes"),"",B120+30)</f>
        <v/>
      </c>
      <c r="S120" s="22" t="n"/>
      <c r="T120" s="23" t="n"/>
      <c r="U120" s="22" t="n"/>
      <c r="V120" s="22" t="n"/>
      <c r="W120" s="23" t="n"/>
      <c r="X120" s="22" t="n"/>
      <c r="Y120" s="22" t="n"/>
      <c r="Z120" s="22" t="n"/>
      <c r="AA120" s="22" t="n"/>
      <c r="AB120" s="22" t="n"/>
    </row>
    <row r="121" ht="24" customHeight="1">
      <c r="A121" s="22" t="inlineStr">
        <is>
          <t>CR-116</t>
        </is>
      </c>
      <c r="B121" s="23" t="n"/>
      <c r="C121" s="22" t="n"/>
      <c r="D121" s="22" t="n"/>
      <c r="E121" s="22" t="n"/>
      <c r="F121" s="22" t="n"/>
      <c r="G121" s="22" t="n"/>
      <c r="H121" s="22" t="n"/>
      <c r="I121" s="22" t="n"/>
      <c r="J121" s="22" t="n"/>
      <c r="K121" s="22" t="n"/>
      <c r="L121" s="22" t="n"/>
      <c r="M121" s="23" t="n"/>
      <c r="N121" s="23">
        <f>IF(B121="","",WORKDAY(B121,3))</f>
        <v/>
      </c>
      <c r="O121" s="23">
        <f>IF(B121="","",B121+56)</f>
        <v/>
      </c>
      <c r="P121" s="23">
        <f>IF(OR(B121="",L121&lt;&gt;"Yes"),"",WORKDAY(B121,15))</f>
        <v/>
      </c>
      <c r="Q121" s="23">
        <f>IF(OR(B121="",L121&lt;&gt;"Yes"),"",WORKDAY(B121,35))</f>
        <v/>
      </c>
      <c r="R121" s="23">
        <f>IF(OR(B121="",K121&lt;&gt;"Yes"),"",B121+30)</f>
        <v/>
      </c>
      <c r="S121" s="22" t="n"/>
      <c r="T121" s="23" t="n"/>
      <c r="U121" s="22" t="n"/>
      <c r="V121" s="22" t="n"/>
      <c r="W121" s="23" t="n"/>
      <c r="X121" s="22" t="n"/>
      <c r="Y121" s="22" t="n"/>
      <c r="Z121" s="22" t="n"/>
      <c r="AA121" s="22" t="n"/>
      <c r="AB121" s="22" t="n"/>
    </row>
    <row r="122" ht="24" customHeight="1">
      <c r="A122" s="22" t="inlineStr">
        <is>
          <t>CR-117</t>
        </is>
      </c>
      <c r="B122" s="23" t="n"/>
      <c r="C122" s="22" t="n"/>
      <c r="D122" s="22" t="n"/>
      <c r="E122" s="22" t="n"/>
      <c r="F122" s="22" t="n"/>
      <c r="G122" s="22" t="n"/>
      <c r="H122" s="22" t="n"/>
      <c r="I122" s="22" t="n"/>
      <c r="J122" s="22" t="n"/>
      <c r="K122" s="22" t="n"/>
      <c r="L122" s="22" t="n"/>
      <c r="M122" s="23" t="n"/>
      <c r="N122" s="23">
        <f>IF(B122="","",WORKDAY(B122,3))</f>
        <v/>
      </c>
      <c r="O122" s="23">
        <f>IF(B122="","",B122+56)</f>
        <v/>
      </c>
      <c r="P122" s="23">
        <f>IF(OR(B122="",L122&lt;&gt;"Yes"),"",WORKDAY(B122,15))</f>
        <v/>
      </c>
      <c r="Q122" s="23">
        <f>IF(OR(B122="",L122&lt;&gt;"Yes"),"",WORKDAY(B122,35))</f>
        <v/>
      </c>
      <c r="R122" s="23">
        <f>IF(OR(B122="",K122&lt;&gt;"Yes"),"",B122+30)</f>
        <v/>
      </c>
      <c r="S122" s="22" t="n"/>
      <c r="T122" s="23" t="n"/>
      <c r="U122" s="22" t="n"/>
      <c r="V122" s="22" t="n"/>
      <c r="W122" s="23" t="n"/>
      <c r="X122" s="22" t="n"/>
      <c r="Y122" s="22" t="n"/>
      <c r="Z122" s="22" t="n"/>
      <c r="AA122" s="22" t="n"/>
      <c r="AB122" s="22" t="n"/>
    </row>
    <row r="123" ht="24" customHeight="1">
      <c r="A123" s="22" t="inlineStr">
        <is>
          <t>CR-118</t>
        </is>
      </c>
      <c r="B123" s="23" t="n"/>
      <c r="C123" s="22" t="n"/>
      <c r="D123" s="22" t="n"/>
      <c r="E123" s="22" t="n"/>
      <c r="F123" s="22" t="n"/>
      <c r="G123" s="22" t="n"/>
      <c r="H123" s="22" t="n"/>
      <c r="I123" s="22" t="n"/>
      <c r="J123" s="22" t="n"/>
      <c r="K123" s="22" t="n"/>
      <c r="L123" s="22" t="n"/>
      <c r="M123" s="23" t="n"/>
      <c r="N123" s="23">
        <f>IF(B123="","",WORKDAY(B123,3))</f>
        <v/>
      </c>
      <c r="O123" s="23">
        <f>IF(B123="","",B123+56)</f>
        <v/>
      </c>
      <c r="P123" s="23">
        <f>IF(OR(B123="",L123&lt;&gt;"Yes"),"",WORKDAY(B123,15))</f>
        <v/>
      </c>
      <c r="Q123" s="23">
        <f>IF(OR(B123="",L123&lt;&gt;"Yes"),"",WORKDAY(B123,35))</f>
        <v/>
      </c>
      <c r="R123" s="23">
        <f>IF(OR(B123="",K123&lt;&gt;"Yes"),"",B123+30)</f>
        <v/>
      </c>
      <c r="S123" s="22" t="n"/>
      <c r="T123" s="23" t="n"/>
      <c r="U123" s="22" t="n"/>
      <c r="V123" s="22" t="n"/>
      <c r="W123" s="23" t="n"/>
      <c r="X123" s="22" t="n"/>
      <c r="Y123" s="22" t="n"/>
      <c r="Z123" s="22" t="n"/>
      <c r="AA123" s="22" t="n"/>
      <c r="AB123" s="22" t="n"/>
    </row>
    <row r="124" ht="24" customHeight="1">
      <c r="A124" s="22" t="inlineStr">
        <is>
          <t>CR-119</t>
        </is>
      </c>
      <c r="B124" s="23" t="n"/>
      <c r="C124" s="22" t="n"/>
      <c r="D124" s="22" t="n"/>
      <c r="E124" s="22" t="n"/>
      <c r="F124" s="22" t="n"/>
      <c r="G124" s="22" t="n"/>
      <c r="H124" s="22" t="n"/>
      <c r="I124" s="22" t="n"/>
      <c r="J124" s="22" t="n"/>
      <c r="K124" s="22" t="n"/>
      <c r="L124" s="22" t="n"/>
      <c r="M124" s="23" t="n"/>
      <c r="N124" s="23">
        <f>IF(B124="","",WORKDAY(B124,3))</f>
        <v/>
      </c>
      <c r="O124" s="23">
        <f>IF(B124="","",B124+56)</f>
        <v/>
      </c>
      <c r="P124" s="23">
        <f>IF(OR(B124="",L124&lt;&gt;"Yes"),"",WORKDAY(B124,15))</f>
        <v/>
      </c>
      <c r="Q124" s="23">
        <f>IF(OR(B124="",L124&lt;&gt;"Yes"),"",WORKDAY(B124,35))</f>
        <v/>
      </c>
      <c r="R124" s="23">
        <f>IF(OR(B124="",K124&lt;&gt;"Yes"),"",B124+30)</f>
        <v/>
      </c>
      <c r="S124" s="22" t="n"/>
      <c r="T124" s="23" t="n"/>
      <c r="U124" s="22" t="n"/>
      <c r="V124" s="22" t="n"/>
      <c r="W124" s="23" t="n"/>
      <c r="X124" s="22" t="n"/>
      <c r="Y124" s="22" t="n"/>
      <c r="Z124" s="22" t="n"/>
      <c r="AA124" s="22" t="n"/>
      <c r="AB124" s="22" t="n"/>
    </row>
    <row r="125" ht="24" customHeight="1">
      <c r="A125" s="22" t="inlineStr">
        <is>
          <t>CR-120</t>
        </is>
      </c>
      <c r="B125" s="23" t="n"/>
      <c r="C125" s="22" t="n"/>
      <c r="D125" s="22" t="n"/>
      <c r="E125" s="22" t="n"/>
      <c r="F125" s="22" t="n"/>
      <c r="G125" s="22" t="n"/>
      <c r="H125" s="22" t="n"/>
      <c r="I125" s="22" t="n"/>
      <c r="J125" s="22" t="n"/>
      <c r="K125" s="22" t="n"/>
      <c r="L125" s="22" t="n"/>
      <c r="M125" s="23" t="n"/>
      <c r="N125" s="23">
        <f>IF(B125="","",WORKDAY(B125,3))</f>
        <v/>
      </c>
      <c r="O125" s="23">
        <f>IF(B125="","",B125+56)</f>
        <v/>
      </c>
      <c r="P125" s="23">
        <f>IF(OR(B125="",L125&lt;&gt;"Yes"),"",WORKDAY(B125,15))</f>
        <v/>
      </c>
      <c r="Q125" s="23">
        <f>IF(OR(B125="",L125&lt;&gt;"Yes"),"",WORKDAY(B125,35))</f>
        <v/>
      </c>
      <c r="R125" s="23">
        <f>IF(OR(B125="",K125&lt;&gt;"Yes"),"",B125+30)</f>
        <v/>
      </c>
      <c r="S125" s="22" t="n"/>
      <c r="T125" s="23" t="n"/>
      <c r="U125" s="22" t="n"/>
      <c r="V125" s="22" t="n"/>
      <c r="W125" s="23" t="n"/>
      <c r="X125" s="22" t="n"/>
      <c r="Y125" s="22" t="n"/>
      <c r="Z125" s="22" t="n"/>
      <c r="AA125" s="22" t="n"/>
      <c r="AB125" s="22" t="n"/>
    </row>
    <row r="126" ht="24" customHeight="1">
      <c r="A126" s="22" t="inlineStr">
        <is>
          <t>CR-121</t>
        </is>
      </c>
      <c r="B126" s="23" t="n"/>
      <c r="C126" s="22" t="n"/>
      <c r="D126" s="22" t="n"/>
      <c r="E126" s="22" t="n"/>
      <c r="F126" s="22" t="n"/>
      <c r="G126" s="22" t="n"/>
      <c r="H126" s="22" t="n"/>
      <c r="I126" s="22" t="n"/>
      <c r="J126" s="22" t="n"/>
      <c r="K126" s="22" t="n"/>
      <c r="L126" s="22" t="n"/>
      <c r="M126" s="23" t="n"/>
      <c r="N126" s="23">
        <f>IF(B126="","",WORKDAY(B126,3))</f>
        <v/>
      </c>
      <c r="O126" s="23">
        <f>IF(B126="","",B126+56)</f>
        <v/>
      </c>
      <c r="P126" s="23">
        <f>IF(OR(B126="",L126&lt;&gt;"Yes"),"",WORKDAY(B126,15))</f>
        <v/>
      </c>
      <c r="Q126" s="23">
        <f>IF(OR(B126="",L126&lt;&gt;"Yes"),"",WORKDAY(B126,35))</f>
        <v/>
      </c>
      <c r="R126" s="23">
        <f>IF(OR(B126="",K126&lt;&gt;"Yes"),"",B126+30)</f>
        <v/>
      </c>
      <c r="S126" s="22" t="n"/>
      <c r="T126" s="23" t="n"/>
      <c r="U126" s="22" t="n"/>
      <c r="V126" s="22" t="n"/>
      <c r="W126" s="23" t="n"/>
      <c r="X126" s="22" t="n"/>
      <c r="Y126" s="22" t="n"/>
      <c r="Z126" s="22" t="n"/>
      <c r="AA126" s="22" t="n"/>
      <c r="AB126" s="22" t="n"/>
    </row>
    <row r="127" ht="24" customHeight="1">
      <c r="A127" s="22" t="inlineStr">
        <is>
          <t>CR-122</t>
        </is>
      </c>
      <c r="B127" s="23" t="n"/>
      <c r="C127" s="22" t="n"/>
      <c r="D127" s="22" t="n"/>
      <c r="E127" s="22" t="n"/>
      <c r="F127" s="22" t="n"/>
      <c r="G127" s="22" t="n"/>
      <c r="H127" s="22" t="n"/>
      <c r="I127" s="22" t="n"/>
      <c r="J127" s="22" t="n"/>
      <c r="K127" s="22" t="n"/>
      <c r="L127" s="22" t="n"/>
      <c r="M127" s="23" t="n"/>
      <c r="N127" s="23">
        <f>IF(B127="","",WORKDAY(B127,3))</f>
        <v/>
      </c>
      <c r="O127" s="23">
        <f>IF(B127="","",B127+56)</f>
        <v/>
      </c>
      <c r="P127" s="23">
        <f>IF(OR(B127="",L127&lt;&gt;"Yes"),"",WORKDAY(B127,15))</f>
        <v/>
      </c>
      <c r="Q127" s="23">
        <f>IF(OR(B127="",L127&lt;&gt;"Yes"),"",WORKDAY(B127,35))</f>
        <v/>
      </c>
      <c r="R127" s="23">
        <f>IF(OR(B127="",K127&lt;&gt;"Yes"),"",B127+30)</f>
        <v/>
      </c>
      <c r="S127" s="22" t="n"/>
      <c r="T127" s="23" t="n"/>
      <c r="U127" s="22" t="n"/>
      <c r="V127" s="22" t="n"/>
      <c r="W127" s="23" t="n"/>
      <c r="X127" s="22" t="n"/>
      <c r="Y127" s="22" t="n"/>
      <c r="Z127" s="22" t="n"/>
      <c r="AA127" s="22" t="n"/>
      <c r="AB127" s="22" t="n"/>
    </row>
    <row r="128" ht="24" customHeight="1">
      <c r="A128" s="22" t="inlineStr">
        <is>
          <t>CR-123</t>
        </is>
      </c>
      <c r="B128" s="23" t="n"/>
      <c r="C128" s="22" t="n"/>
      <c r="D128" s="22" t="n"/>
      <c r="E128" s="22" t="n"/>
      <c r="F128" s="22" t="n"/>
      <c r="G128" s="22" t="n"/>
      <c r="H128" s="22" t="n"/>
      <c r="I128" s="22" t="n"/>
      <c r="J128" s="22" t="n"/>
      <c r="K128" s="22" t="n"/>
      <c r="L128" s="22" t="n"/>
      <c r="M128" s="23" t="n"/>
      <c r="N128" s="23">
        <f>IF(B128="","",WORKDAY(B128,3))</f>
        <v/>
      </c>
      <c r="O128" s="23">
        <f>IF(B128="","",B128+56)</f>
        <v/>
      </c>
      <c r="P128" s="23">
        <f>IF(OR(B128="",L128&lt;&gt;"Yes"),"",WORKDAY(B128,15))</f>
        <v/>
      </c>
      <c r="Q128" s="23">
        <f>IF(OR(B128="",L128&lt;&gt;"Yes"),"",WORKDAY(B128,35))</f>
        <v/>
      </c>
      <c r="R128" s="23">
        <f>IF(OR(B128="",K128&lt;&gt;"Yes"),"",B128+30)</f>
        <v/>
      </c>
      <c r="S128" s="22" t="n"/>
      <c r="T128" s="23" t="n"/>
      <c r="U128" s="22" t="n"/>
      <c r="V128" s="22" t="n"/>
      <c r="W128" s="23" t="n"/>
      <c r="X128" s="22" t="n"/>
      <c r="Y128" s="22" t="n"/>
      <c r="Z128" s="22" t="n"/>
      <c r="AA128" s="22" t="n"/>
      <c r="AB128" s="22" t="n"/>
    </row>
    <row r="129" ht="24" customHeight="1">
      <c r="A129" s="22" t="inlineStr">
        <is>
          <t>CR-124</t>
        </is>
      </c>
      <c r="B129" s="23" t="n"/>
      <c r="C129" s="22" t="n"/>
      <c r="D129" s="22" t="n"/>
      <c r="E129" s="22" t="n"/>
      <c r="F129" s="22" t="n"/>
      <c r="G129" s="22" t="n"/>
      <c r="H129" s="22" t="n"/>
      <c r="I129" s="22" t="n"/>
      <c r="J129" s="22" t="n"/>
      <c r="K129" s="22" t="n"/>
      <c r="L129" s="22" t="n"/>
      <c r="M129" s="23" t="n"/>
      <c r="N129" s="23">
        <f>IF(B129="","",WORKDAY(B129,3))</f>
        <v/>
      </c>
      <c r="O129" s="23">
        <f>IF(B129="","",B129+56)</f>
        <v/>
      </c>
      <c r="P129" s="23">
        <f>IF(OR(B129="",L129&lt;&gt;"Yes"),"",WORKDAY(B129,15))</f>
        <v/>
      </c>
      <c r="Q129" s="23">
        <f>IF(OR(B129="",L129&lt;&gt;"Yes"),"",WORKDAY(B129,35))</f>
        <v/>
      </c>
      <c r="R129" s="23">
        <f>IF(OR(B129="",K129&lt;&gt;"Yes"),"",B129+30)</f>
        <v/>
      </c>
      <c r="S129" s="22" t="n"/>
      <c r="T129" s="23" t="n"/>
      <c r="U129" s="22" t="n"/>
      <c r="V129" s="22" t="n"/>
      <c r="W129" s="23" t="n"/>
      <c r="X129" s="22" t="n"/>
      <c r="Y129" s="22" t="n"/>
      <c r="Z129" s="22" t="n"/>
      <c r="AA129" s="22" t="n"/>
      <c r="AB129" s="22" t="n"/>
    </row>
    <row r="130" ht="24" customHeight="1">
      <c r="A130" s="22" t="inlineStr">
        <is>
          <t>CR-125</t>
        </is>
      </c>
      <c r="B130" s="23" t="n"/>
      <c r="C130" s="22" t="n"/>
      <c r="D130" s="22" t="n"/>
      <c r="E130" s="22" t="n"/>
      <c r="F130" s="22" t="n"/>
      <c r="G130" s="22" t="n"/>
      <c r="H130" s="22" t="n"/>
      <c r="I130" s="22" t="n"/>
      <c r="J130" s="22" t="n"/>
      <c r="K130" s="22" t="n"/>
      <c r="L130" s="22" t="n"/>
      <c r="M130" s="23" t="n"/>
      <c r="N130" s="23">
        <f>IF(B130="","",WORKDAY(B130,3))</f>
        <v/>
      </c>
      <c r="O130" s="23">
        <f>IF(B130="","",B130+56)</f>
        <v/>
      </c>
      <c r="P130" s="23">
        <f>IF(OR(B130="",L130&lt;&gt;"Yes"),"",WORKDAY(B130,15))</f>
        <v/>
      </c>
      <c r="Q130" s="23">
        <f>IF(OR(B130="",L130&lt;&gt;"Yes"),"",WORKDAY(B130,35))</f>
        <v/>
      </c>
      <c r="R130" s="23">
        <f>IF(OR(B130="",K130&lt;&gt;"Yes"),"",B130+30)</f>
        <v/>
      </c>
      <c r="S130" s="22" t="n"/>
      <c r="T130" s="23" t="n"/>
      <c r="U130" s="22" t="n"/>
      <c r="V130" s="22" t="n"/>
      <c r="W130" s="23" t="n"/>
      <c r="X130" s="22" t="n"/>
      <c r="Y130" s="22" t="n"/>
      <c r="Z130" s="22" t="n"/>
      <c r="AA130" s="22" t="n"/>
      <c r="AB130" s="22" t="n"/>
    </row>
    <row r="131" ht="24" customHeight="1">
      <c r="A131" s="22" t="inlineStr">
        <is>
          <t>CR-126</t>
        </is>
      </c>
      <c r="B131" s="23" t="n"/>
      <c r="C131" s="22" t="n"/>
      <c r="D131" s="22" t="n"/>
      <c r="E131" s="22" t="n"/>
      <c r="F131" s="22" t="n"/>
      <c r="G131" s="22" t="n"/>
      <c r="H131" s="22" t="n"/>
      <c r="I131" s="22" t="n"/>
      <c r="J131" s="22" t="n"/>
      <c r="K131" s="22" t="n"/>
      <c r="L131" s="22" t="n"/>
      <c r="M131" s="23" t="n"/>
      <c r="N131" s="23">
        <f>IF(B131="","",WORKDAY(B131,3))</f>
        <v/>
      </c>
      <c r="O131" s="23">
        <f>IF(B131="","",B131+56)</f>
        <v/>
      </c>
      <c r="P131" s="23">
        <f>IF(OR(B131="",L131&lt;&gt;"Yes"),"",WORKDAY(B131,15))</f>
        <v/>
      </c>
      <c r="Q131" s="23">
        <f>IF(OR(B131="",L131&lt;&gt;"Yes"),"",WORKDAY(B131,35))</f>
        <v/>
      </c>
      <c r="R131" s="23">
        <f>IF(OR(B131="",K131&lt;&gt;"Yes"),"",B131+30)</f>
        <v/>
      </c>
      <c r="S131" s="22" t="n"/>
      <c r="T131" s="23" t="n"/>
      <c r="U131" s="22" t="n"/>
      <c r="V131" s="22" t="n"/>
      <c r="W131" s="23" t="n"/>
      <c r="X131" s="22" t="n"/>
      <c r="Y131" s="22" t="n"/>
      <c r="Z131" s="22" t="n"/>
      <c r="AA131" s="22" t="n"/>
      <c r="AB131" s="22" t="n"/>
    </row>
    <row r="132" ht="24" customHeight="1">
      <c r="A132" s="22" t="inlineStr">
        <is>
          <t>CR-127</t>
        </is>
      </c>
      <c r="B132" s="23" t="n"/>
      <c r="C132" s="22" t="n"/>
      <c r="D132" s="22" t="n"/>
      <c r="E132" s="22" t="n"/>
      <c r="F132" s="22" t="n"/>
      <c r="G132" s="22" t="n"/>
      <c r="H132" s="22" t="n"/>
      <c r="I132" s="22" t="n"/>
      <c r="J132" s="22" t="n"/>
      <c r="K132" s="22" t="n"/>
      <c r="L132" s="22" t="n"/>
      <c r="M132" s="23" t="n"/>
      <c r="N132" s="23">
        <f>IF(B132="","",WORKDAY(B132,3))</f>
        <v/>
      </c>
      <c r="O132" s="23">
        <f>IF(B132="","",B132+56)</f>
        <v/>
      </c>
      <c r="P132" s="23">
        <f>IF(OR(B132="",L132&lt;&gt;"Yes"),"",WORKDAY(B132,15))</f>
        <v/>
      </c>
      <c r="Q132" s="23">
        <f>IF(OR(B132="",L132&lt;&gt;"Yes"),"",WORKDAY(B132,35))</f>
        <v/>
      </c>
      <c r="R132" s="23">
        <f>IF(OR(B132="",K132&lt;&gt;"Yes"),"",B132+30)</f>
        <v/>
      </c>
      <c r="S132" s="22" t="n"/>
      <c r="T132" s="23" t="n"/>
      <c r="U132" s="22" t="n"/>
      <c r="V132" s="22" t="n"/>
      <c r="W132" s="23" t="n"/>
      <c r="X132" s="22" t="n"/>
      <c r="Y132" s="22" t="n"/>
      <c r="Z132" s="22" t="n"/>
      <c r="AA132" s="22" t="n"/>
      <c r="AB132" s="22" t="n"/>
    </row>
    <row r="133" ht="24" customHeight="1">
      <c r="A133" s="22" t="inlineStr">
        <is>
          <t>CR-128</t>
        </is>
      </c>
      <c r="B133" s="23" t="n"/>
      <c r="C133" s="22" t="n"/>
      <c r="D133" s="22" t="n"/>
      <c r="E133" s="22" t="n"/>
      <c r="F133" s="22" t="n"/>
      <c r="G133" s="22" t="n"/>
      <c r="H133" s="22" t="n"/>
      <c r="I133" s="22" t="n"/>
      <c r="J133" s="22" t="n"/>
      <c r="K133" s="22" t="n"/>
      <c r="L133" s="22" t="n"/>
      <c r="M133" s="23" t="n"/>
      <c r="N133" s="23">
        <f>IF(B133="","",WORKDAY(B133,3))</f>
        <v/>
      </c>
      <c r="O133" s="23">
        <f>IF(B133="","",B133+56)</f>
        <v/>
      </c>
      <c r="P133" s="23">
        <f>IF(OR(B133="",L133&lt;&gt;"Yes"),"",WORKDAY(B133,15))</f>
        <v/>
      </c>
      <c r="Q133" s="23">
        <f>IF(OR(B133="",L133&lt;&gt;"Yes"),"",WORKDAY(B133,35))</f>
        <v/>
      </c>
      <c r="R133" s="23">
        <f>IF(OR(B133="",K133&lt;&gt;"Yes"),"",B133+30)</f>
        <v/>
      </c>
      <c r="S133" s="22" t="n"/>
      <c r="T133" s="23" t="n"/>
      <c r="U133" s="22" t="n"/>
      <c r="V133" s="22" t="n"/>
      <c r="W133" s="23" t="n"/>
      <c r="X133" s="22" t="n"/>
      <c r="Y133" s="22" t="n"/>
      <c r="Z133" s="22" t="n"/>
      <c r="AA133" s="22" t="n"/>
      <c r="AB133" s="22" t="n"/>
    </row>
    <row r="134" ht="24" customHeight="1">
      <c r="A134" s="22" t="inlineStr">
        <is>
          <t>CR-129</t>
        </is>
      </c>
      <c r="B134" s="23" t="n"/>
      <c r="C134" s="22" t="n"/>
      <c r="D134" s="22" t="n"/>
      <c r="E134" s="22" t="n"/>
      <c r="F134" s="22" t="n"/>
      <c r="G134" s="22" t="n"/>
      <c r="H134" s="22" t="n"/>
      <c r="I134" s="22" t="n"/>
      <c r="J134" s="22" t="n"/>
      <c r="K134" s="22" t="n"/>
      <c r="L134" s="22" t="n"/>
      <c r="M134" s="23" t="n"/>
      <c r="N134" s="23">
        <f>IF(B134="","",WORKDAY(B134,3))</f>
        <v/>
      </c>
      <c r="O134" s="23">
        <f>IF(B134="","",B134+56)</f>
        <v/>
      </c>
      <c r="P134" s="23">
        <f>IF(OR(B134="",L134&lt;&gt;"Yes"),"",WORKDAY(B134,15))</f>
        <v/>
      </c>
      <c r="Q134" s="23">
        <f>IF(OR(B134="",L134&lt;&gt;"Yes"),"",WORKDAY(B134,35))</f>
        <v/>
      </c>
      <c r="R134" s="23">
        <f>IF(OR(B134="",K134&lt;&gt;"Yes"),"",B134+30)</f>
        <v/>
      </c>
      <c r="S134" s="22" t="n"/>
      <c r="T134" s="23" t="n"/>
      <c r="U134" s="22" t="n"/>
      <c r="V134" s="22" t="n"/>
      <c r="W134" s="23" t="n"/>
      <c r="X134" s="22" t="n"/>
      <c r="Y134" s="22" t="n"/>
      <c r="Z134" s="22" t="n"/>
      <c r="AA134" s="22" t="n"/>
      <c r="AB134" s="22" t="n"/>
    </row>
    <row r="135" ht="24" customHeight="1">
      <c r="A135" s="22" t="inlineStr">
        <is>
          <t>CR-130</t>
        </is>
      </c>
      <c r="B135" s="23" t="n"/>
      <c r="C135" s="22" t="n"/>
      <c r="D135" s="22" t="n"/>
      <c r="E135" s="22" t="n"/>
      <c r="F135" s="22" t="n"/>
      <c r="G135" s="22" t="n"/>
      <c r="H135" s="22" t="n"/>
      <c r="I135" s="22" t="n"/>
      <c r="J135" s="22" t="n"/>
      <c r="K135" s="22" t="n"/>
      <c r="L135" s="22" t="n"/>
      <c r="M135" s="23" t="n"/>
      <c r="N135" s="23">
        <f>IF(B135="","",WORKDAY(B135,3))</f>
        <v/>
      </c>
      <c r="O135" s="23">
        <f>IF(B135="","",B135+56)</f>
        <v/>
      </c>
      <c r="P135" s="23">
        <f>IF(OR(B135="",L135&lt;&gt;"Yes"),"",WORKDAY(B135,15))</f>
        <v/>
      </c>
      <c r="Q135" s="23">
        <f>IF(OR(B135="",L135&lt;&gt;"Yes"),"",WORKDAY(B135,35))</f>
        <v/>
      </c>
      <c r="R135" s="23">
        <f>IF(OR(B135="",K135&lt;&gt;"Yes"),"",B135+30)</f>
        <v/>
      </c>
      <c r="S135" s="22" t="n"/>
      <c r="T135" s="23" t="n"/>
      <c r="U135" s="22" t="n"/>
      <c r="V135" s="22" t="n"/>
      <c r="W135" s="23" t="n"/>
      <c r="X135" s="22" t="n"/>
      <c r="Y135" s="22" t="n"/>
      <c r="Z135" s="22" t="n"/>
      <c r="AA135" s="22" t="n"/>
      <c r="AB135" s="22" t="n"/>
    </row>
    <row r="136" ht="24" customHeight="1">
      <c r="A136" s="22" t="inlineStr">
        <is>
          <t>CR-131</t>
        </is>
      </c>
      <c r="B136" s="23" t="n"/>
      <c r="C136" s="22" t="n"/>
      <c r="D136" s="22" t="n"/>
      <c r="E136" s="22" t="n"/>
      <c r="F136" s="22" t="n"/>
      <c r="G136" s="22" t="n"/>
      <c r="H136" s="22" t="n"/>
      <c r="I136" s="22" t="n"/>
      <c r="J136" s="22" t="n"/>
      <c r="K136" s="22" t="n"/>
      <c r="L136" s="22" t="n"/>
      <c r="M136" s="23" t="n"/>
      <c r="N136" s="23">
        <f>IF(B136="","",WORKDAY(B136,3))</f>
        <v/>
      </c>
      <c r="O136" s="23">
        <f>IF(B136="","",B136+56)</f>
        <v/>
      </c>
      <c r="P136" s="23">
        <f>IF(OR(B136="",L136&lt;&gt;"Yes"),"",WORKDAY(B136,15))</f>
        <v/>
      </c>
      <c r="Q136" s="23">
        <f>IF(OR(B136="",L136&lt;&gt;"Yes"),"",WORKDAY(B136,35))</f>
        <v/>
      </c>
      <c r="R136" s="23">
        <f>IF(OR(B136="",K136&lt;&gt;"Yes"),"",B136+30)</f>
        <v/>
      </c>
      <c r="S136" s="22" t="n"/>
      <c r="T136" s="23" t="n"/>
      <c r="U136" s="22" t="n"/>
      <c r="V136" s="22" t="n"/>
      <c r="W136" s="23" t="n"/>
      <c r="X136" s="22" t="n"/>
      <c r="Y136" s="22" t="n"/>
      <c r="Z136" s="22" t="n"/>
      <c r="AA136" s="22" t="n"/>
      <c r="AB136" s="22" t="n"/>
    </row>
    <row r="137" ht="24" customHeight="1">
      <c r="A137" s="22" t="inlineStr">
        <is>
          <t>CR-132</t>
        </is>
      </c>
      <c r="B137" s="23" t="n"/>
      <c r="C137" s="22" t="n"/>
      <c r="D137" s="22" t="n"/>
      <c r="E137" s="22" t="n"/>
      <c r="F137" s="22" t="n"/>
      <c r="G137" s="22" t="n"/>
      <c r="H137" s="22" t="n"/>
      <c r="I137" s="22" t="n"/>
      <c r="J137" s="22" t="n"/>
      <c r="K137" s="22" t="n"/>
      <c r="L137" s="22" t="n"/>
      <c r="M137" s="23" t="n"/>
      <c r="N137" s="23">
        <f>IF(B137="","",WORKDAY(B137,3))</f>
        <v/>
      </c>
      <c r="O137" s="23">
        <f>IF(B137="","",B137+56)</f>
        <v/>
      </c>
      <c r="P137" s="23">
        <f>IF(OR(B137="",L137&lt;&gt;"Yes"),"",WORKDAY(B137,15))</f>
        <v/>
      </c>
      <c r="Q137" s="23">
        <f>IF(OR(B137="",L137&lt;&gt;"Yes"),"",WORKDAY(B137,35))</f>
        <v/>
      </c>
      <c r="R137" s="23">
        <f>IF(OR(B137="",K137&lt;&gt;"Yes"),"",B137+30)</f>
        <v/>
      </c>
      <c r="S137" s="22" t="n"/>
      <c r="T137" s="23" t="n"/>
      <c r="U137" s="22" t="n"/>
      <c r="V137" s="22" t="n"/>
      <c r="W137" s="23" t="n"/>
      <c r="X137" s="22" t="n"/>
      <c r="Y137" s="22" t="n"/>
      <c r="Z137" s="22" t="n"/>
      <c r="AA137" s="22" t="n"/>
      <c r="AB137" s="22" t="n"/>
    </row>
    <row r="138" ht="24" customHeight="1">
      <c r="A138" s="22" t="inlineStr">
        <is>
          <t>CR-133</t>
        </is>
      </c>
      <c r="B138" s="23" t="n"/>
      <c r="C138" s="22" t="n"/>
      <c r="D138" s="22" t="n"/>
      <c r="E138" s="22" t="n"/>
      <c r="F138" s="22" t="n"/>
      <c r="G138" s="22" t="n"/>
      <c r="H138" s="22" t="n"/>
      <c r="I138" s="22" t="n"/>
      <c r="J138" s="22" t="n"/>
      <c r="K138" s="22" t="n"/>
      <c r="L138" s="22" t="n"/>
      <c r="M138" s="23" t="n"/>
      <c r="N138" s="23">
        <f>IF(B138="","",WORKDAY(B138,3))</f>
        <v/>
      </c>
      <c r="O138" s="23">
        <f>IF(B138="","",B138+56)</f>
        <v/>
      </c>
      <c r="P138" s="23">
        <f>IF(OR(B138="",L138&lt;&gt;"Yes"),"",WORKDAY(B138,15))</f>
        <v/>
      </c>
      <c r="Q138" s="23">
        <f>IF(OR(B138="",L138&lt;&gt;"Yes"),"",WORKDAY(B138,35))</f>
        <v/>
      </c>
      <c r="R138" s="23">
        <f>IF(OR(B138="",K138&lt;&gt;"Yes"),"",B138+30)</f>
        <v/>
      </c>
      <c r="S138" s="22" t="n"/>
      <c r="T138" s="23" t="n"/>
      <c r="U138" s="22" t="n"/>
      <c r="V138" s="22" t="n"/>
      <c r="W138" s="23" t="n"/>
      <c r="X138" s="22" t="n"/>
      <c r="Y138" s="22" t="n"/>
      <c r="Z138" s="22" t="n"/>
      <c r="AA138" s="22" t="n"/>
      <c r="AB138" s="22" t="n"/>
    </row>
    <row r="139" ht="24" customHeight="1">
      <c r="A139" s="22" t="inlineStr">
        <is>
          <t>CR-134</t>
        </is>
      </c>
      <c r="B139" s="23" t="n"/>
      <c r="C139" s="22" t="n"/>
      <c r="D139" s="22" t="n"/>
      <c r="E139" s="22" t="n"/>
      <c r="F139" s="22" t="n"/>
      <c r="G139" s="22" t="n"/>
      <c r="H139" s="22" t="n"/>
      <c r="I139" s="22" t="n"/>
      <c r="J139" s="22" t="n"/>
      <c r="K139" s="22" t="n"/>
      <c r="L139" s="22" t="n"/>
      <c r="M139" s="23" t="n"/>
      <c r="N139" s="23">
        <f>IF(B139="","",WORKDAY(B139,3))</f>
        <v/>
      </c>
      <c r="O139" s="23">
        <f>IF(B139="","",B139+56)</f>
        <v/>
      </c>
      <c r="P139" s="23">
        <f>IF(OR(B139="",L139&lt;&gt;"Yes"),"",WORKDAY(B139,15))</f>
        <v/>
      </c>
      <c r="Q139" s="23">
        <f>IF(OR(B139="",L139&lt;&gt;"Yes"),"",WORKDAY(B139,35))</f>
        <v/>
      </c>
      <c r="R139" s="23">
        <f>IF(OR(B139="",K139&lt;&gt;"Yes"),"",B139+30)</f>
        <v/>
      </c>
      <c r="S139" s="22" t="n"/>
      <c r="T139" s="23" t="n"/>
      <c r="U139" s="22" t="n"/>
      <c r="V139" s="22" t="n"/>
      <c r="W139" s="23" t="n"/>
      <c r="X139" s="22" t="n"/>
      <c r="Y139" s="22" t="n"/>
      <c r="Z139" s="22" t="n"/>
      <c r="AA139" s="22" t="n"/>
      <c r="AB139" s="22" t="n"/>
    </row>
    <row r="140" ht="24" customHeight="1">
      <c r="A140" s="22" t="inlineStr">
        <is>
          <t>CR-135</t>
        </is>
      </c>
      <c r="B140" s="23" t="n"/>
      <c r="C140" s="22" t="n"/>
      <c r="D140" s="22" t="n"/>
      <c r="E140" s="22" t="n"/>
      <c r="F140" s="22" t="n"/>
      <c r="G140" s="22" t="n"/>
      <c r="H140" s="22" t="n"/>
      <c r="I140" s="22" t="n"/>
      <c r="J140" s="22" t="n"/>
      <c r="K140" s="22" t="n"/>
      <c r="L140" s="22" t="n"/>
      <c r="M140" s="23" t="n"/>
      <c r="N140" s="23">
        <f>IF(B140="","",WORKDAY(B140,3))</f>
        <v/>
      </c>
      <c r="O140" s="23">
        <f>IF(B140="","",B140+56)</f>
        <v/>
      </c>
      <c r="P140" s="23">
        <f>IF(OR(B140="",L140&lt;&gt;"Yes"),"",WORKDAY(B140,15))</f>
        <v/>
      </c>
      <c r="Q140" s="23">
        <f>IF(OR(B140="",L140&lt;&gt;"Yes"),"",WORKDAY(B140,35))</f>
        <v/>
      </c>
      <c r="R140" s="23">
        <f>IF(OR(B140="",K140&lt;&gt;"Yes"),"",B140+30)</f>
        <v/>
      </c>
      <c r="S140" s="22" t="n"/>
      <c r="T140" s="23" t="n"/>
      <c r="U140" s="22" t="n"/>
      <c r="V140" s="22" t="n"/>
      <c r="W140" s="23" t="n"/>
      <c r="X140" s="22" t="n"/>
      <c r="Y140" s="22" t="n"/>
      <c r="Z140" s="22" t="n"/>
      <c r="AA140" s="22" t="n"/>
      <c r="AB140" s="22" t="n"/>
    </row>
    <row r="141" ht="24" customHeight="1">
      <c r="A141" s="22" t="inlineStr">
        <is>
          <t>CR-136</t>
        </is>
      </c>
      <c r="B141" s="23" t="n"/>
      <c r="C141" s="22" t="n"/>
      <c r="D141" s="22" t="n"/>
      <c r="E141" s="22" t="n"/>
      <c r="F141" s="22" t="n"/>
      <c r="G141" s="22" t="n"/>
      <c r="H141" s="22" t="n"/>
      <c r="I141" s="22" t="n"/>
      <c r="J141" s="22" t="n"/>
      <c r="K141" s="22" t="n"/>
      <c r="L141" s="22" t="n"/>
      <c r="M141" s="23" t="n"/>
      <c r="N141" s="23">
        <f>IF(B141="","",WORKDAY(B141,3))</f>
        <v/>
      </c>
      <c r="O141" s="23">
        <f>IF(B141="","",B141+56)</f>
        <v/>
      </c>
      <c r="P141" s="23">
        <f>IF(OR(B141="",L141&lt;&gt;"Yes"),"",WORKDAY(B141,15))</f>
        <v/>
      </c>
      <c r="Q141" s="23">
        <f>IF(OR(B141="",L141&lt;&gt;"Yes"),"",WORKDAY(B141,35))</f>
        <v/>
      </c>
      <c r="R141" s="23">
        <f>IF(OR(B141="",K141&lt;&gt;"Yes"),"",B141+30)</f>
        <v/>
      </c>
      <c r="S141" s="22" t="n"/>
      <c r="T141" s="23" t="n"/>
      <c r="U141" s="22" t="n"/>
      <c r="V141" s="22" t="n"/>
      <c r="W141" s="23" t="n"/>
      <c r="X141" s="22" t="n"/>
      <c r="Y141" s="22" t="n"/>
      <c r="Z141" s="22" t="n"/>
      <c r="AA141" s="22" t="n"/>
      <c r="AB141" s="22" t="n"/>
    </row>
    <row r="142" ht="24" customHeight="1">
      <c r="A142" s="22" t="inlineStr">
        <is>
          <t>CR-137</t>
        </is>
      </c>
      <c r="B142" s="23" t="n"/>
      <c r="C142" s="22" t="n"/>
      <c r="D142" s="22" t="n"/>
      <c r="E142" s="22" t="n"/>
      <c r="F142" s="22" t="n"/>
      <c r="G142" s="22" t="n"/>
      <c r="H142" s="22" t="n"/>
      <c r="I142" s="22" t="n"/>
      <c r="J142" s="22" t="n"/>
      <c r="K142" s="22" t="n"/>
      <c r="L142" s="22" t="n"/>
      <c r="M142" s="23" t="n"/>
      <c r="N142" s="23">
        <f>IF(B142="","",WORKDAY(B142,3))</f>
        <v/>
      </c>
      <c r="O142" s="23">
        <f>IF(B142="","",B142+56)</f>
        <v/>
      </c>
      <c r="P142" s="23">
        <f>IF(OR(B142="",L142&lt;&gt;"Yes"),"",WORKDAY(B142,15))</f>
        <v/>
      </c>
      <c r="Q142" s="23">
        <f>IF(OR(B142="",L142&lt;&gt;"Yes"),"",WORKDAY(B142,35))</f>
        <v/>
      </c>
      <c r="R142" s="23">
        <f>IF(OR(B142="",K142&lt;&gt;"Yes"),"",B142+30)</f>
        <v/>
      </c>
      <c r="S142" s="22" t="n"/>
      <c r="T142" s="23" t="n"/>
      <c r="U142" s="22" t="n"/>
      <c r="V142" s="22" t="n"/>
      <c r="W142" s="23" t="n"/>
      <c r="X142" s="22" t="n"/>
      <c r="Y142" s="22" t="n"/>
      <c r="Z142" s="22" t="n"/>
      <c r="AA142" s="22" t="n"/>
      <c r="AB142" s="22" t="n"/>
    </row>
    <row r="143" ht="24" customHeight="1">
      <c r="A143" s="22" t="inlineStr">
        <is>
          <t>CR-138</t>
        </is>
      </c>
      <c r="B143" s="23" t="n"/>
      <c r="C143" s="22" t="n"/>
      <c r="D143" s="22" t="n"/>
      <c r="E143" s="22" t="n"/>
      <c r="F143" s="22" t="n"/>
      <c r="G143" s="22" t="n"/>
      <c r="H143" s="22" t="n"/>
      <c r="I143" s="22" t="n"/>
      <c r="J143" s="22" t="n"/>
      <c r="K143" s="22" t="n"/>
      <c r="L143" s="22" t="n"/>
      <c r="M143" s="23" t="n"/>
      <c r="N143" s="23">
        <f>IF(B143="","",WORKDAY(B143,3))</f>
        <v/>
      </c>
      <c r="O143" s="23">
        <f>IF(B143="","",B143+56)</f>
        <v/>
      </c>
      <c r="P143" s="23">
        <f>IF(OR(B143="",L143&lt;&gt;"Yes"),"",WORKDAY(B143,15))</f>
        <v/>
      </c>
      <c r="Q143" s="23">
        <f>IF(OR(B143="",L143&lt;&gt;"Yes"),"",WORKDAY(B143,35))</f>
        <v/>
      </c>
      <c r="R143" s="23">
        <f>IF(OR(B143="",K143&lt;&gt;"Yes"),"",B143+30)</f>
        <v/>
      </c>
      <c r="S143" s="22" t="n"/>
      <c r="T143" s="23" t="n"/>
      <c r="U143" s="22" t="n"/>
      <c r="V143" s="22" t="n"/>
      <c r="W143" s="23" t="n"/>
      <c r="X143" s="22" t="n"/>
      <c r="Y143" s="22" t="n"/>
      <c r="Z143" s="22" t="n"/>
      <c r="AA143" s="22" t="n"/>
      <c r="AB143" s="22" t="n"/>
    </row>
    <row r="144" ht="24" customHeight="1">
      <c r="A144" s="22" t="inlineStr">
        <is>
          <t>CR-139</t>
        </is>
      </c>
      <c r="B144" s="23" t="n"/>
      <c r="C144" s="22" t="n"/>
      <c r="D144" s="22" t="n"/>
      <c r="E144" s="22" t="n"/>
      <c r="F144" s="22" t="n"/>
      <c r="G144" s="22" t="n"/>
      <c r="H144" s="22" t="n"/>
      <c r="I144" s="22" t="n"/>
      <c r="J144" s="22" t="n"/>
      <c r="K144" s="22" t="n"/>
      <c r="L144" s="22" t="n"/>
      <c r="M144" s="23" t="n"/>
      <c r="N144" s="23">
        <f>IF(B144="","",WORKDAY(B144,3))</f>
        <v/>
      </c>
      <c r="O144" s="23">
        <f>IF(B144="","",B144+56)</f>
        <v/>
      </c>
      <c r="P144" s="23">
        <f>IF(OR(B144="",L144&lt;&gt;"Yes"),"",WORKDAY(B144,15))</f>
        <v/>
      </c>
      <c r="Q144" s="23">
        <f>IF(OR(B144="",L144&lt;&gt;"Yes"),"",WORKDAY(B144,35))</f>
        <v/>
      </c>
      <c r="R144" s="23">
        <f>IF(OR(B144="",K144&lt;&gt;"Yes"),"",B144+30)</f>
        <v/>
      </c>
      <c r="S144" s="22" t="n"/>
      <c r="T144" s="23" t="n"/>
      <c r="U144" s="22" t="n"/>
      <c r="V144" s="22" t="n"/>
      <c r="W144" s="23" t="n"/>
      <c r="X144" s="22" t="n"/>
      <c r="Y144" s="22" t="n"/>
      <c r="Z144" s="22" t="n"/>
      <c r="AA144" s="22" t="n"/>
      <c r="AB144" s="22" t="n"/>
    </row>
    <row r="145" ht="24" customHeight="1">
      <c r="A145" s="22" t="inlineStr">
        <is>
          <t>CR-140</t>
        </is>
      </c>
      <c r="B145" s="23" t="n"/>
      <c r="C145" s="22" t="n"/>
      <c r="D145" s="22" t="n"/>
      <c r="E145" s="22" t="n"/>
      <c r="F145" s="22" t="n"/>
      <c r="G145" s="22" t="n"/>
      <c r="H145" s="22" t="n"/>
      <c r="I145" s="22" t="n"/>
      <c r="J145" s="22" t="n"/>
      <c r="K145" s="22" t="n"/>
      <c r="L145" s="22" t="n"/>
      <c r="M145" s="23" t="n"/>
      <c r="N145" s="23">
        <f>IF(B145="","",WORKDAY(B145,3))</f>
        <v/>
      </c>
      <c r="O145" s="23">
        <f>IF(B145="","",B145+56)</f>
        <v/>
      </c>
      <c r="P145" s="23">
        <f>IF(OR(B145="",L145&lt;&gt;"Yes"),"",WORKDAY(B145,15))</f>
        <v/>
      </c>
      <c r="Q145" s="23">
        <f>IF(OR(B145="",L145&lt;&gt;"Yes"),"",WORKDAY(B145,35))</f>
        <v/>
      </c>
      <c r="R145" s="23">
        <f>IF(OR(B145="",K145&lt;&gt;"Yes"),"",B145+30)</f>
        <v/>
      </c>
      <c r="S145" s="22" t="n"/>
      <c r="T145" s="23" t="n"/>
      <c r="U145" s="22" t="n"/>
      <c r="V145" s="22" t="n"/>
      <c r="W145" s="23" t="n"/>
      <c r="X145" s="22" t="n"/>
      <c r="Y145" s="22" t="n"/>
      <c r="Z145" s="22" t="n"/>
      <c r="AA145" s="22" t="n"/>
      <c r="AB145" s="22" t="n"/>
    </row>
    <row r="146" ht="24" customHeight="1">
      <c r="A146" s="22" t="inlineStr">
        <is>
          <t>CR-141</t>
        </is>
      </c>
      <c r="B146" s="23" t="n"/>
      <c r="C146" s="22" t="n"/>
      <c r="D146" s="22" t="n"/>
      <c r="E146" s="22" t="n"/>
      <c r="F146" s="22" t="n"/>
      <c r="G146" s="22" t="n"/>
      <c r="H146" s="22" t="n"/>
      <c r="I146" s="22" t="n"/>
      <c r="J146" s="22" t="n"/>
      <c r="K146" s="22" t="n"/>
      <c r="L146" s="22" t="n"/>
      <c r="M146" s="23" t="n"/>
      <c r="N146" s="23">
        <f>IF(B146="","",WORKDAY(B146,3))</f>
        <v/>
      </c>
      <c r="O146" s="23">
        <f>IF(B146="","",B146+56)</f>
        <v/>
      </c>
      <c r="P146" s="23">
        <f>IF(OR(B146="",L146&lt;&gt;"Yes"),"",WORKDAY(B146,15))</f>
        <v/>
      </c>
      <c r="Q146" s="23">
        <f>IF(OR(B146="",L146&lt;&gt;"Yes"),"",WORKDAY(B146,35))</f>
        <v/>
      </c>
      <c r="R146" s="23">
        <f>IF(OR(B146="",K146&lt;&gt;"Yes"),"",B146+30)</f>
        <v/>
      </c>
      <c r="S146" s="22" t="n"/>
      <c r="T146" s="23" t="n"/>
      <c r="U146" s="22" t="n"/>
      <c r="V146" s="22" t="n"/>
      <c r="W146" s="23" t="n"/>
      <c r="X146" s="22" t="n"/>
      <c r="Y146" s="22" t="n"/>
      <c r="Z146" s="22" t="n"/>
      <c r="AA146" s="22" t="n"/>
      <c r="AB146" s="22" t="n"/>
    </row>
    <row r="147" ht="24" customHeight="1">
      <c r="A147" s="22" t="inlineStr">
        <is>
          <t>CR-142</t>
        </is>
      </c>
      <c r="B147" s="23" t="n"/>
      <c r="C147" s="22" t="n"/>
      <c r="D147" s="22" t="n"/>
      <c r="E147" s="22" t="n"/>
      <c r="F147" s="22" t="n"/>
      <c r="G147" s="22" t="n"/>
      <c r="H147" s="22" t="n"/>
      <c r="I147" s="22" t="n"/>
      <c r="J147" s="22" t="n"/>
      <c r="K147" s="22" t="n"/>
      <c r="L147" s="22" t="n"/>
      <c r="M147" s="23" t="n"/>
      <c r="N147" s="23">
        <f>IF(B147="","",WORKDAY(B147,3))</f>
        <v/>
      </c>
      <c r="O147" s="23">
        <f>IF(B147="","",B147+56)</f>
        <v/>
      </c>
      <c r="P147" s="23">
        <f>IF(OR(B147="",L147&lt;&gt;"Yes"),"",WORKDAY(B147,15))</f>
        <v/>
      </c>
      <c r="Q147" s="23">
        <f>IF(OR(B147="",L147&lt;&gt;"Yes"),"",WORKDAY(B147,35))</f>
        <v/>
      </c>
      <c r="R147" s="23">
        <f>IF(OR(B147="",K147&lt;&gt;"Yes"),"",B147+30)</f>
        <v/>
      </c>
      <c r="S147" s="22" t="n"/>
      <c r="T147" s="23" t="n"/>
      <c r="U147" s="22" t="n"/>
      <c r="V147" s="22" t="n"/>
      <c r="W147" s="23" t="n"/>
      <c r="X147" s="22" t="n"/>
      <c r="Y147" s="22" t="n"/>
      <c r="Z147" s="22" t="n"/>
      <c r="AA147" s="22" t="n"/>
      <c r="AB147" s="22" t="n"/>
    </row>
    <row r="148" ht="24" customHeight="1">
      <c r="A148" s="22" t="inlineStr">
        <is>
          <t>CR-143</t>
        </is>
      </c>
      <c r="B148" s="23" t="n"/>
      <c r="C148" s="22" t="n"/>
      <c r="D148" s="22" t="n"/>
      <c r="E148" s="22" t="n"/>
      <c r="F148" s="22" t="n"/>
      <c r="G148" s="22" t="n"/>
      <c r="H148" s="22" t="n"/>
      <c r="I148" s="22" t="n"/>
      <c r="J148" s="22" t="n"/>
      <c r="K148" s="22" t="n"/>
      <c r="L148" s="22" t="n"/>
      <c r="M148" s="23" t="n"/>
      <c r="N148" s="23">
        <f>IF(B148="","",WORKDAY(B148,3))</f>
        <v/>
      </c>
      <c r="O148" s="23">
        <f>IF(B148="","",B148+56)</f>
        <v/>
      </c>
      <c r="P148" s="23">
        <f>IF(OR(B148="",L148&lt;&gt;"Yes"),"",WORKDAY(B148,15))</f>
        <v/>
      </c>
      <c r="Q148" s="23">
        <f>IF(OR(B148="",L148&lt;&gt;"Yes"),"",WORKDAY(B148,35))</f>
        <v/>
      </c>
      <c r="R148" s="23">
        <f>IF(OR(B148="",K148&lt;&gt;"Yes"),"",B148+30)</f>
        <v/>
      </c>
      <c r="S148" s="22" t="n"/>
      <c r="T148" s="23" t="n"/>
      <c r="U148" s="22" t="n"/>
      <c r="V148" s="22" t="n"/>
      <c r="W148" s="23" t="n"/>
      <c r="X148" s="22" t="n"/>
      <c r="Y148" s="22" t="n"/>
      <c r="Z148" s="22" t="n"/>
      <c r="AA148" s="22" t="n"/>
      <c r="AB148" s="22" t="n"/>
    </row>
    <row r="149" ht="24" customHeight="1">
      <c r="A149" s="22" t="inlineStr">
        <is>
          <t>CR-144</t>
        </is>
      </c>
      <c r="B149" s="23" t="n"/>
      <c r="C149" s="22" t="n"/>
      <c r="D149" s="22" t="n"/>
      <c r="E149" s="22" t="n"/>
      <c r="F149" s="22" t="n"/>
      <c r="G149" s="22" t="n"/>
      <c r="H149" s="22" t="n"/>
      <c r="I149" s="22" t="n"/>
      <c r="J149" s="22" t="n"/>
      <c r="K149" s="22" t="n"/>
      <c r="L149" s="22" t="n"/>
      <c r="M149" s="23" t="n"/>
      <c r="N149" s="23">
        <f>IF(B149="","",WORKDAY(B149,3))</f>
        <v/>
      </c>
      <c r="O149" s="23">
        <f>IF(B149="","",B149+56)</f>
        <v/>
      </c>
      <c r="P149" s="23">
        <f>IF(OR(B149="",L149&lt;&gt;"Yes"),"",WORKDAY(B149,15))</f>
        <v/>
      </c>
      <c r="Q149" s="23">
        <f>IF(OR(B149="",L149&lt;&gt;"Yes"),"",WORKDAY(B149,35))</f>
        <v/>
      </c>
      <c r="R149" s="23">
        <f>IF(OR(B149="",K149&lt;&gt;"Yes"),"",B149+30)</f>
        <v/>
      </c>
      <c r="S149" s="22" t="n"/>
      <c r="T149" s="23" t="n"/>
      <c r="U149" s="22" t="n"/>
      <c r="V149" s="22" t="n"/>
      <c r="W149" s="23" t="n"/>
      <c r="X149" s="22" t="n"/>
      <c r="Y149" s="22" t="n"/>
      <c r="Z149" s="22" t="n"/>
      <c r="AA149" s="22" t="n"/>
      <c r="AB149" s="22" t="n"/>
    </row>
    <row r="150" ht="24" customHeight="1">
      <c r="A150" s="22" t="inlineStr">
        <is>
          <t>CR-145</t>
        </is>
      </c>
      <c r="B150" s="23" t="n"/>
      <c r="C150" s="22" t="n"/>
      <c r="D150" s="22" t="n"/>
      <c r="E150" s="22" t="n"/>
      <c r="F150" s="22" t="n"/>
      <c r="G150" s="22" t="n"/>
      <c r="H150" s="22" t="n"/>
      <c r="I150" s="22" t="n"/>
      <c r="J150" s="22" t="n"/>
      <c r="K150" s="22" t="n"/>
      <c r="L150" s="22" t="n"/>
      <c r="M150" s="23" t="n"/>
      <c r="N150" s="23">
        <f>IF(B150="","",WORKDAY(B150,3))</f>
        <v/>
      </c>
      <c r="O150" s="23">
        <f>IF(B150="","",B150+56)</f>
        <v/>
      </c>
      <c r="P150" s="23">
        <f>IF(OR(B150="",L150&lt;&gt;"Yes"),"",WORKDAY(B150,15))</f>
        <v/>
      </c>
      <c r="Q150" s="23">
        <f>IF(OR(B150="",L150&lt;&gt;"Yes"),"",WORKDAY(B150,35))</f>
        <v/>
      </c>
      <c r="R150" s="23">
        <f>IF(OR(B150="",K150&lt;&gt;"Yes"),"",B150+30)</f>
        <v/>
      </c>
      <c r="S150" s="22" t="n"/>
      <c r="T150" s="23" t="n"/>
      <c r="U150" s="22" t="n"/>
      <c r="V150" s="22" t="n"/>
      <c r="W150" s="23" t="n"/>
      <c r="X150" s="22" t="n"/>
      <c r="Y150" s="22" t="n"/>
      <c r="Z150" s="22" t="n"/>
      <c r="AA150" s="22" t="n"/>
      <c r="AB150" s="22" t="n"/>
    </row>
    <row r="151" ht="24" customHeight="1">
      <c r="A151" s="22" t="inlineStr">
        <is>
          <t>CR-146</t>
        </is>
      </c>
      <c r="B151" s="23" t="n"/>
      <c r="C151" s="22" t="n"/>
      <c r="D151" s="22" t="n"/>
      <c r="E151" s="22" t="n"/>
      <c r="F151" s="22" t="n"/>
      <c r="G151" s="22" t="n"/>
      <c r="H151" s="22" t="n"/>
      <c r="I151" s="22" t="n"/>
      <c r="J151" s="22" t="n"/>
      <c r="K151" s="22" t="n"/>
      <c r="L151" s="22" t="n"/>
      <c r="M151" s="23" t="n"/>
      <c r="N151" s="23">
        <f>IF(B151="","",WORKDAY(B151,3))</f>
        <v/>
      </c>
      <c r="O151" s="23">
        <f>IF(B151="","",B151+56)</f>
        <v/>
      </c>
      <c r="P151" s="23">
        <f>IF(OR(B151="",L151&lt;&gt;"Yes"),"",WORKDAY(B151,15))</f>
        <v/>
      </c>
      <c r="Q151" s="23">
        <f>IF(OR(B151="",L151&lt;&gt;"Yes"),"",WORKDAY(B151,35))</f>
        <v/>
      </c>
      <c r="R151" s="23">
        <f>IF(OR(B151="",K151&lt;&gt;"Yes"),"",B151+30)</f>
        <v/>
      </c>
      <c r="S151" s="22" t="n"/>
      <c r="T151" s="23" t="n"/>
      <c r="U151" s="22" t="n"/>
      <c r="V151" s="22" t="n"/>
      <c r="W151" s="23" t="n"/>
      <c r="X151" s="22" t="n"/>
      <c r="Y151" s="22" t="n"/>
      <c r="Z151" s="22" t="n"/>
      <c r="AA151" s="22" t="n"/>
      <c r="AB151" s="22" t="n"/>
    </row>
    <row r="152" ht="24" customHeight="1">
      <c r="A152" s="22" t="inlineStr">
        <is>
          <t>CR-147</t>
        </is>
      </c>
      <c r="B152" s="23" t="n"/>
      <c r="C152" s="22" t="n"/>
      <c r="D152" s="22" t="n"/>
      <c r="E152" s="22" t="n"/>
      <c r="F152" s="22" t="n"/>
      <c r="G152" s="22" t="n"/>
      <c r="H152" s="22" t="n"/>
      <c r="I152" s="22" t="n"/>
      <c r="J152" s="22" t="n"/>
      <c r="K152" s="22" t="n"/>
      <c r="L152" s="22" t="n"/>
      <c r="M152" s="23" t="n"/>
      <c r="N152" s="23">
        <f>IF(B152="","",WORKDAY(B152,3))</f>
        <v/>
      </c>
      <c r="O152" s="23">
        <f>IF(B152="","",B152+56)</f>
        <v/>
      </c>
      <c r="P152" s="23">
        <f>IF(OR(B152="",L152&lt;&gt;"Yes"),"",WORKDAY(B152,15))</f>
        <v/>
      </c>
      <c r="Q152" s="23">
        <f>IF(OR(B152="",L152&lt;&gt;"Yes"),"",WORKDAY(B152,35))</f>
        <v/>
      </c>
      <c r="R152" s="23">
        <f>IF(OR(B152="",K152&lt;&gt;"Yes"),"",B152+30)</f>
        <v/>
      </c>
      <c r="S152" s="22" t="n"/>
      <c r="T152" s="23" t="n"/>
      <c r="U152" s="22" t="n"/>
      <c r="V152" s="22" t="n"/>
      <c r="W152" s="23" t="n"/>
      <c r="X152" s="22" t="n"/>
      <c r="Y152" s="22" t="n"/>
      <c r="Z152" s="22" t="n"/>
      <c r="AA152" s="22" t="n"/>
      <c r="AB152" s="22" t="n"/>
    </row>
    <row r="153" ht="24" customHeight="1">
      <c r="A153" s="22" t="inlineStr">
        <is>
          <t>CR-148</t>
        </is>
      </c>
      <c r="B153" s="23" t="n"/>
      <c r="C153" s="22" t="n"/>
      <c r="D153" s="22" t="n"/>
      <c r="E153" s="22" t="n"/>
      <c r="F153" s="22" t="n"/>
      <c r="G153" s="22" t="n"/>
      <c r="H153" s="22" t="n"/>
      <c r="I153" s="22" t="n"/>
      <c r="J153" s="22" t="n"/>
      <c r="K153" s="22" t="n"/>
      <c r="L153" s="22" t="n"/>
      <c r="M153" s="23" t="n"/>
      <c r="N153" s="23">
        <f>IF(B153="","",WORKDAY(B153,3))</f>
        <v/>
      </c>
      <c r="O153" s="23">
        <f>IF(B153="","",B153+56)</f>
        <v/>
      </c>
      <c r="P153" s="23">
        <f>IF(OR(B153="",L153&lt;&gt;"Yes"),"",WORKDAY(B153,15))</f>
        <v/>
      </c>
      <c r="Q153" s="23">
        <f>IF(OR(B153="",L153&lt;&gt;"Yes"),"",WORKDAY(B153,35))</f>
        <v/>
      </c>
      <c r="R153" s="23">
        <f>IF(OR(B153="",K153&lt;&gt;"Yes"),"",B153+30)</f>
        <v/>
      </c>
      <c r="S153" s="22" t="n"/>
      <c r="T153" s="23" t="n"/>
      <c r="U153" s="22" t="n"/>
      <c r="V153" s="22" t="n"/>
      <c r="W153" s="23" t="n"/>
      <c r="X153" s="22" t="n"/>
      <c r="Y153" s="22" t="n"/>
      <c r="Z153" s="22" t="n"/>
      <c r="AA153" s="22" t="n"/>
      <c r="AB153" s="22" t="n"/>
    </row>
    <row r="154" ht="24" customHeight="1">
      <c r="A154" s="22" t="inlineStr">
        <is>
          <t>CR-149</t>
        </is>
      </c>
      <c r="B154" s="23" t="n"/>
      <c r="C154" s="22" t="n"/>
      <c r="D154" s="22" t="n"/>
      <c r="E154" s="22" t="n"/>
      <c r="F154" s="22" t="n"/>
      <c r="G154" s="22" t="n"/>
      <c r="H154" s="22" t="n"/>
      <c r="I154" s="22" t="n"/>
      <c r="J154" s="22" t="n"/>
      <c r="K154" s="22" t="n"/>
      <c r="L154" s="22" t="n"/>
      <c r="M154" s="23" t="n"/>
      <c r="N154" s="23">
        <f>IF(B154="","",WORKDAY(B154,3))</f>
        <v/>
      </c>
      <c r="O154" s="23">
        <f>IF(B154="","",B154+56)</f>
        <v/>
      </c>
      <c r="P154" s="23">
        <f>IF(OR(B154="",L154&lt;&gt;"Yes"),"",WORKDAY(B154,15))</f>
        <v/>
      </c>
      <c r="Q154" s="23">
        <f>IF(OR(B154="",L154&lt;&gt;"Yes"),"",WORKDAY(B154,35))</f>
        <v/>
      </c>
      <c r="R154" s="23">
        <f>IF(OR(B154="",K154&lt;&gt;"Yes"),"",B154+30)</f>
        <v/>
      </c>
      <c r="S154" s="22" t="n"/>
      <c r="T154" s="23" t="n"/>
      <c r="U154" s="22" t="n"/>
      <c r="V154" s="22" t="n"/>
      <c r="W154" s="23" t="n"/>
      <c r="X154" s="22" t="n"/>
      <c r="Y154" s="22" t="n"/>
      <c r="Z154" s="22" t="n"/>
      <c r="AA154" s="22" t="n"/>
      <c r="AB154" s="22" t="n"/>
    </row>
    <row r="155" ht="24" customHeight="1">
      <c r="A155" s="22" t="inlineStr">
        <is>
          <t>CR-150</t>
        </is>
      </c>
      <c r="B155" s="23" t="n"/>
      <c r="C155" s="22" t="n"/>
      <c r="D155" s="22" t="n"/>
      <c r="E155" s="22" t="n"/>
      <c r="F155" s="22" t="n"/>
      <c r="G155" s="22" t="n"/>
      <c r="H155" s="22" t="n"/>
      <c r="I155" s="22" t="n"/>
      <c r="J155" s="22" t="n"/>
      <c r="K155" s="22" t="n"/>
      <c r="L155" s="22" t="n"/>
      <c r="M155" s="23" t="n"/>
      <c r="N155" s="23">
        <f>IF(B155="","",WORKDAY(B155,3))</f>
        <v/>
      </c>
      <c r="O155" s="23">
        <f>IF(B155="","",B155+56)</f>
        <v/>
      </c>
      <c r="P155" s="23">
        <f>IF(OR(B155="",L155&lt;&gt;"Yes"),"",WORKDAY(B155,15))</f>
        <v/>
      </c>
      <c r="Q155" s="23">
        <f>IF(OR(B155="",L155&lt;&gt;"Yes"),"",WORKDAY(B155,35))</f>
        <v/>
      </c>
      <c r="R155" s="23">
        <f>IF(OR(B155="",K155&lt;&gt;"Yes"),"",B155+30)</f>
        <v/>
      </c>
      <c r="S155" s="22" t="n"/>
      <c r="T155" s="23" t="n"/>
      <c r="U155" s="22" t="n"/>
      <c r="V155" s="22" t="n"/>
      <c r="W155" s="23" t="n"/>
      <c r="X155" s="22" t="n"/>
      <c r="Y155" s="22" t="n"/>
      <c r="Z155" s="22" t="n"/>
      <c r="AA155" s="22" t="n"/>
      <c r="AB155" s="22" t="n"/>
    </row>
  </sheetData>
  <mergeCells count="7">
    <mergeCell ref="A2:AB2"/>
    <mergeCell ref="Y4:AB4"/>
    <mergeCell ref="M4:R4"/>
    <mergeCell ref="S4:X4"/>
    <mergeCell ref="A1:AB1"/>
    <mergeCell ref="A3:AB3"/>
    <mergeCell ref="A4:L4"/>
  </mergeCells>
  <conditionalFormatting sqref="O6:O155">
    <cfRule type="expression" priority="1" dxfId="0">
      <formula>AND(O6&lt;&gt;"",T6="",O6&lt;TODAY())</formula>
    </cfRule>
  </conditionalFormatting>
  <dataValidations count="7">
    <dataValidation sqref="D6:D155" showDropDown="0" showInputMessage="0" showErrorMessage="1" allowBlank="1" errorTitle="Invalid entry" error="Please choose a value from the list." type="list">
      <formula1>Lists!$A$2:$A$8</formula1>
    </dataValidation>
    <dataValidation sqref="G6:G155" showDropDown="0" showInputMessage="0" showErrorMessage="1" allowBlank="1" errorTitle="Invalid entry" error="Please choose a value from the list." type="list">
      <formula1>Lists!$B$2:$B$14</formula1>
    </dataValidation>
    <dataValidation sqref="H6:H155" showDropDown="0" showInputMessage="0" showErrorMessage="1" allowBlank="1" errorTitle="Invalid entry" error="Please choose a value from the list." type="list">
      <formula1>Lists!$C$2:$C$13</formula1>
    </dataValidation>
    <dataValidation sqref="K6:K155" showDropDown="0" showInputMessage="0" showErrorMessage="1" allowBlank="1" errorTitle="Invalid entry" error="Please choose a value from the list." type="list">
      <formula1>Lists!$E$2:$E$3</formula1>
    </dataValidation>
    <dataValidation sqref="L6:L155" showDropDown="0" showInputMessage="0" showErrorMessage="1" allowBlank="1" errorTitle="Invalid entry" error="Please choose a value from the list." type="list">
      <formula1>Lists!$E$2:$E$3</formula1>
    </dataValidation>
    <dataValidation sqref="U6:U155" showDropDown="0" showInputMessage="0" showErrorMessage="1" allowBlank="1" errorTitle="Invalid entry" error="Please choose a value from the list." type="list">
      <formula1>Lists!$D$2:$D$7</formula1>
    </dataValidation>
    <dataValidation sqref="AA6:AA155" showDropDown="0" showInputMessage="0" showErrorMessage="1" allowBlank="1" errorTitle="Invalid entry" error="Please choose a value from the list." type="list">
      <formula1>Lists!$G$2:$G$6</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4" customWidth="1" min="5" max="5"/>
  </cols>
  <sheetData>
    <row r="1" ht="30" customHeight="1">
      <c r="A1" s="15" t="inlineStr">
        <is>
          <t>Complaints Summary (management information)</t>
        </is>
      </c>
    </row>
    <row r="2" ht="20" customHeight="1">
      <c r="A2" s="16" t="inlineStr">
        <is>
          <t>Firm: [Insert firm legal name]   |   Register owner: [Insert name and role]   |   Last reviewed: [Insert date]</t>
        </is>
      </c>
    </row>
    <row r="4" ht="36" customHeight="1">
      <c r="A4" s="20" t="inlineStr">
        <is>
          <t>Complaint category</t>
        </is>
      </c>
      <c r="B4" s="20" t="inlineStr">
        <is>
          <t>Received</t>
        </is>
      </c>
      <c r="C4" s="20" t="inlineStr">
        <is>
          <t>Upheld / partly upheld</t>
        </is>
      </c>
      <c r="D4" s="20" t="inlineStr">
        <is>
          <t>Not upheld</t>
        </is>
      </c>
      <c r="E4" s="20" t="inlineStr">
        <is>
          <t>Referred to Ombudsman</t>
        </is>
      </c>
    </row>
    <row r="5">
      <c r="A5" s="22" t="inlineStr">
        <is>
          <t>Advice / suitability</t>
        </is>
      </c>
      <c r="B5" s="22">
        <f>COUNTIF('Complaints Register'!H:H,A5)</f>
        <v/>
      </c>
      <c r="C5" s="22">
        <f>COUNTIFS('Complaints Register'!H:H,A5,'Complaints Register'!U:U,"Upheld")+COUNTIFS('Complaints Register'!H:H,A5,'Complaints Register'!U:U,"Partly upheld")</f>
        <v/>
      </c>
      <c r="D5" s="22">
        <f>COUNTIFS('Complaints Register'!H:H,A5,'Complaints Register'!U:U,"Not upheld")</f>
        <v/>
      </c>
      <c r="E5" s="22">
        <f>COUNTIFS('Complaints Register'!H:H,A5,'Complaints Register'!AA:AA,"&lt;&gt;Not referred",'Complaints Register'!AA:AA,"&lt;&gt;")</f>
        <v/>
      </c>
    </row>
    <row r="6">
      <c r="A6" s="22" t="inlineStr">
        <is>
          <t>Information / disclosure</t>
        </is>
      </c>
      <c r="B6" s="22">
        <f>COUNTIF('Complaints Register'!H:H,A6)</f>
        <v/>
      </c>
      <c r="C6" s="22">
        <f>COUNTIFS('Complaints Register'!H:H,A6,'Complaints Register'!U:U,"Upheld")+COUNTIFS('Complaints Register'!H:H,A6,'Complaints Register'!U:U,"Partly upheld")</f>
        <v/>
      </c>
      <c r="D6" s="22">
        <f>COUNTIFS('Complaints Register'!H:H,A6,'Complaints Register'!U:U,"Not upheld")</f>
        <v/>
      </c>
      <c r="E6" s="22">
        <f>COUNTIFS('Complaints Register'!H:H,A6,'Complaints Register'!AA:AA,"&lt;&gt;Not referred",'Complaints Register'!AA:AA,"&lt;&gt;")</f>
        <v/>
      </c>
    </row>
    <row r="7">
      <c r="A7" s="22" t="inlineStr">
        <is>
          <t>Affordability / lending decision</t>
        </is>
      </c>
      <c r="B7" s="22">
        <f>COUNTIF('Complaints Register'!H:H,A7)</f>
        <v/>
      </c>
      <c r="C7" s="22">
        <f>COUNTIFS('Complaints Register'!H:H,A7,'Complaints Register'!U:U,"Upheld")+COUNTIFS('Complaints Register'!H:H,A7,'Complaints Register'!U:U,"Partly upheld")</f>
        <v/>
      </c>
      <c r="D7" s="22">
        <f>COUNTIFS('Complaints Register'!H:H,A7,'Complaints Register'!U:U,"Not upheld")</f>
        <v/>
      </c>
      <c r="E7" s="22">
        <f>COUNTIFS('Complaints Register'!H:H,A7,'Complaints Register'!AA:AA,"&lt;&gt;Not referred",'Complaints Register'!AA:AA,"&lt;&gt;")</f>
        <v/>
      </c>
    </row>
    <row r="8">
      <c r="A8" s="22" t="inlineStr">
        <is>
          <t>Fees and charges</t>
        </is>
      </c>
      <c r="B8" s="22">
        <f>COUNTIF('Complaints Register'!H:H,A8)</f>
        <v/>
      </c>
      <c r="C8" s="22">
        <f>COUNTIFS('Complaints Register'!H:H,A8,'Complaints Register'!U:U,"Upheld")+COUNTIFS('Complaints Register'!H:H,A8,'Complaints Register'!U:U,"Partly upheld")</f>
        <v/>
      </c>
      <c r="D8" s="22">
        <f>COUNTIFS('Complaints Register'!H:H,A8,'Complaints Register'!U:U,"Not upheld")</f>
        <v/>
      </c>
      <c r="E8" s="22">
        <f>COUNTIFS('Complaints Register'!H:H,A8,'Complaints Register'!AA:AA,"&lt;&gt;Not referred",'Complaints Register'!AA:AA,"&lt;&gt;")</f>
        <v/>
      </c>
    </row>
    <row r="9">
      <c r="A9" s="22" t="inlineStr">
        <is>
          <t>Arrears / collections</t>
        </is>
      </c>
      <c r="B9" s="22">
        <f>COUNTIF('Complaints Register'!H:H,A9)</f>
        <v/>
      </c>
      <c r="C9" s="22">
        <f>COUNTIFS('Complaints Register'!H:H,A9,'Complaints Register'!U:U,"Upheld")+COUNTIFS('Complaints Register'!H:H,A9,'Complaints Register'!U:U,"Partly upheld")</f>
        <v/>
      </c>
      <c r="D9" s="22">
        <f>COUNTIFS('Complaints Register'!H:H,A9,'Complaints Register'!U:U,"Not upheld")</f>
        <v/>
      </c>
      <c r="E9" s="22">
        <f>COUNTIFS('Complaints Register'!H:H,A9,'Complaints Register'!AA:AA,"&lt;&gt;Not referred",'Complaints Register'!AA:AA,"&lt;&gt;")</f>
        <v/>
      </c>
    </row>
    <row r="10">
      <c r="A10" s="22" t="inlineStr">
        <is>
          <t>Customer service / delays</t>
        </is>
      </c>
      <c r="B10" s="22">
        <f>COUNTIF('Complaints Register'!H:H,A10)</f>
        <v/>
      </c>
      <c r="C10" s="22">
        <f>COUNTIFS('Complaints Register'!H:H,A10,'Complaints Register'!U:U,"Upheld")+COUNTIFS('Complaints Register'!H:H,A10,'Complaints Register'!U:U,"Partly upheld")</f>
        <v/>
      </c>
      <c r="D10" s="22">
        <f>COUNTIFS('Complaints Register'!H:H,A10,'Complaints Register'!U:U,"Not upheld")</f>
        <v/>
      </c>
      <c r="E10" s="22">
        <f>COUNTIFS('Complaints Register'!H:H,A10,'Complaints Register'!AA:AA,"&lt;&gt;Not referred",'Complaints Register'!AA:AA,"&lt;&gt;")</f>
        <v/>
      </c>
    </row>
    <row r="11">
      <c r="A11" s="22" t="inlineStr">
        <is>
          <t>Staff conduct</t>
        </is>
      </c>
      <c r="B11" s="22">
        <f>COUNTIF('Complaints Register'!H:H,A11)</f>
        <v/>
      </c>
      <c r="C11" s="22">
        <f>COUNTIFS('Complaints Register'!H:H,A11,'Complaints Register'!U:U,"Upheld")+COUNTIFS('Complaints Register'!H:H,A11,'Complaints Register'!U:U,"Partly upheld")</f>
        <v/>
      </c>
      <c r="D11" s="22">
        <f>COUNTIFS('Complaints Register'!H:H,A11,'Complaints Register'!U:U,"Not upheld")</f>
        <v/>
      </c>
      <c r="E11" s="22">
        <f>COUNTIFS('Complaints Register'!H:H,A11,'Complaints Register'!AA:AA,"&lt;&gt;Not referred",'Complaints Register'!AA:AA,"&lt;&gt;")</f>
        <v/>
      </c>
    </row>
    <row r="12">
      <c r="A12" s="22" t="inlineStr">
        <is>
          <t>Fraud / scams</t>
        </is>
      </c>
      <c r="B12" s="22">
        <f>COUNTIF('Complaints Register'!H:H,A12)</f>
        <v/>
      </c>
      <c r="C12" s="22">
        <f>COUNTIFS('Complaints Register'!H:H,A12,'Complaints Register'!U:U,"Upheld")+COUNTIFS('Complaints Register'!H:H,A12,'Complaints Register'!U:U,"Partly upheld")</f>
        <v/>
      </c>
      <c r="D12" s="22">
        <f>COUNTIFS('Complaints Register'!H:H,A12,'Complaints Register'!U:U,"Not upheld")</f>
        <v/>
      </c>
      <c r="E12" s="22">
        <f>COUNTIFS('Complaints Register'!H:H,A12,'Complaints Register'!AA:AA,"&lt;&gt;Not referred",'Complaints Register'!AA:AA,"&lt;&gt;")</f>
        <v/>
      </c>
    </row>
    <row r="13">
      <c r="A13" s="22" t="inlineStr">
        <is>
          <t>Data protection</t>
        </is>
      </c>
      <c r="B13" s="22">
        <f>COUNTIF('Complaints Register'!H:H,A13)</f>
        <v/>
      </c>
      <c r="C13" s="22">
        <f>COUNTIFS('Complaints Register'!H:H,A13,'Complaints Register'!U:U,"Upheld")+COUNTIFS('Complaints Register'!H:H,A13,'Complaints Register'!U:U,"Partly upheld")</f>
        <v/>
      </c>
      <c r="D13" s="22">
        <f>COUNTIFS('Complaints Register'!H:H,A13,'Complaints Register'!U:U,"Not upheld")</f>
        <v/>
      </c>
      <c r="E13" s="22">
        <f>COUNTIFS('Complaints Register'!H:H,A13,'Complaints Register'!AA:AA,"&lt;&gt;Not referred",'Complaints Register'!AA:AA,"&lt;&gt;")</f>
        <v/>
      </c>
    </row>
    <row r="14">
      <c r="A14" s="22" t="inlineStr">
        <is>
          <t>Product performance</t>
        </is>
      </c>
      <c r="B14" s="22">
        <f>COUNTIF('Complaints Register'!H:H,A14)</f>
        <v/>
      </c>
      <c r="C14" s="22">
        <f>COUNTIFS('Complaints Register'!H:H,A14,'Complaints Register'!U:U,"Upheld")+COUNTIFS('Complaints Register'!H:H,A14,'Complaints Register'!U:U,"Partly upheld")</f>
        <v/>
      </c>
      <c r="D14" s="22">
        <f>COUNTIFS('Complaints Register'!H:H,A14,'Complaints Register'!U:U,"Not upheld")</f>
        <v/>
      </c>
      <c r="E14" s="22">
        <f>COUNTIFS('Complaints Register'!H:H,A14,'Complaints Register'!AA:AA,"&lt;&gt;Not referred",'Complaints Register'!AA:AA,"&lt;&gt;")</f>
        <v/>
      </c>
    </row>
    <row r="15">
      <c r="A15" s="22" t="inlineStr">
        <is>
          <t>Claims (insurance)</t>
        </is>
      </c>
      <c r="B15" s="22">
        <f>COUNTIF('Complaints Register'!H:H,A15)</f>
        <v/>
      </c>
      <c r="C15" s="22">
        <f>COUNTIFS('Complaints Register'!H:H,A15,'Complaints Register'!U:U,"Upheld")+COUNTIFS('Complaints Register'!H:H,A15,'Complaints Register'!U:U,"Partly upheld")</f>
        <v/>
      </c>
      <c r="D15" s="22">
        <f>COUNTIFS('Complaints Register'!H:H,A15,'Complaints Register'!U:U,"Not upheld")</f>
        <v/>
      </c>
      <c r="E15" s="22">
        <f>COUNTIFS('Complaints Register'!H:H,A15,'Complaints Register'!AA:AA,"&lt;&gt;Not referred",'Complaints Register'!AA:AA,"&lt;&gt;")</f>
        <v/>
      </c>
    </row>
    <row r="16">
      <c r="A16" s="22" t="inlineStr">
        <is>
          <t>Other</t>
        </is>
      </c>
      <c r="B16" s="22">
        <f>COUNTIF('Complaints Register'!H:H,A16)</f>
        <v/>
      </c>
      <c r="C16" s="22">
        <f>COUNTIFS('Complaints Register'!H:H,A16,'Complaints Register'!U:U,"Upheld")+COUNTIFS('Complaints Register'!H:H,A16,'Complaints Register'!U:U,"Partly upheld")</f>
        <v/>
      </c>
      <c r="D16" s="22">
        <f>COUNTIFS('Complaints Register'!H:H,A16,'Complaints Register'!U:U,"Not upheld")</f>
        <v/>
      </c>
      <c r="E16" s="22">
        <f>COUNTIFS('Complaints Register'!H:H,A16,'Complaints Register'!AA:AA,"&lt;&gt;Not referred",'Complaints Register'!AA:AA,"&lt;&gt;")</f>
        <v/>
      </c>
    </row>
    <row r="17">
      <c r="A17" s="24" t="inlineStr">
        <is>
          <t>Total</t>
        </is>
      </c>
      <c r="B17" s="24">
        <f>SUM(B5:B16)</f>
        <v/>
      </c>
      <c r="C17" s="24">
        <f>SUM(C5:C16)</f>
        <v/>
      </c>
      <c r="D17" s="24">
        <f>SUM(D5:D16)</f>
        <v/>
      </c>
      <c r="E17" s="24">
        <f>SUM(E5:E16)</f>
        <v/>
      </c>
    </row>
  </sheetData>
  <mergeCells count="2">
    <mergeCell ref="A2:E2"/>
    <mergeCell ref="A1:E1"/>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chan</t>
        </is>
      </c>
      <c r="B1" t="inlineStr">
        <is>
          <t>act</t>
        </is>
      </c>
      <c r="C1" t="inlineStr">
        <is>
          <t>cat</t>
        </is>
      </c>
      <c r="D1" t="inlineStr">
        <is>
          <t>out</t>
        </is>
      </c>
      <c r="E1" t="inlineStr">
        <is>
          <t>yn</t>
        </is>
      </c>
      <c r="F1" t="inlineStr">
        <is>
          <t>ynna</t>
        </is>
      </c>
      <c r="G1" t="inlineStr">
        <is>
          <t>fos</t>
        </is>
      </c>
    </row>
    <row r="2">
      <c r="A2" t="inlineStr">
        <is>
          <t>Telephone</t>
        </is>
      </c>
      <c r="B2" t="inlineStr">
        <is>
          <t>All activities</t>
        </is>
      </c>
      <c r="C2" t="inlineStr">
        <is>
          <t>Advice / suitability</t>
        </is>
      </c>
      <c r="D2" t="inlineStr">
        <is>
          <t>Resolved by summary resolution communication</t>
        </is>
      </c>
      <c r="E2" t="inlineStr">
        <is>
          <t>Yes</t>
        </is>
      </c>
      <c r="F2" t="inlineStr">
        <is>
          <t>Yes</t>
        </is>
      </c>
      <c r="G2" t="inlineStr">
        <is>
          <t>Not referred</t>
        </is>
      </c>
    </row>
    <row r="3">
      <c r="A3" t="inlineStr">
        <is>
          <t>Email</t>
        </is>
      </c>
      <c r="B3" t="inlineStr">
        <is>
          <t>Credit broking</t>
        </is>
      </c>
      <c r="C3" t="inlineStr">
        <is>
          <t>Information / disclosure</t>
        </is>
      </c>
      <c r="D3" t="inlineStr">
        <is>
          <t>Upheld</t>
        </is>
      </c>
      <c r="E3" t="inlineStr">
        <is>
          <t>No</t>
        </is>
      </c>
      <c r="F3" t="inlineStr">
        <is>
          <t>No</t>
        </is>
      </c>
      <c r="G3" t="inlineStr">
        <is>
          <t>Referred – awaiting outcome</t>
        </is>
      </c>
    </row>
    <row r="4">
      <c r="A4" t="inlineStr">
        <is>
          <t>Letter</t>
        </is>
      </c>
      <c r="B4" t="inlineStr">
        <is>
          <t>Debt adjusting and debt counselling</t>
        </is>
      </c>
      <c r="C4" t="inlineStr">
        <is>
          <t>Affordability / lending decision</t>
        </is>
      </c>
      <c r="D4" t="inlineStr">
        <is>
          <t>Partly upheld</t>
        </is>
      </c>
      <c r="F4" t="inlineStr">
        <is>
          <t>Not applicable</t>
        </is>
      </c>
      <c r="G4" t="inlineStr">
        <is>
          <t>Ombudsman upheld</t>
        </is>
      </c>
    </row>
    <row r="5">
      <c r="A5" t="inlineStr">
        <is>
          <t>Web form</t>
        </is>
      </c>
      <c r="B5" t="inlineStr">
        <is>
          <t>Debt collecting and debt administration</t>
        </is>
      </c>
      <c r="C5" t="inlineStr">
        <is>
          <t>Fees and charges</t>
        </is>
      </c>
      <c r="D5" t="inlineStr">
        <is>
          <t>Not upheld</t>
        </is>
      </c>
      <c r="G5" t="inlineStr">
        <is>
          <t>Ombudsman not upheld</t>
        </is>
      </c>
    </row>
    <row r="6">
      <c r="A6" t="inlineStr">
        <is>
          <t>In person</t>
        </is>
      </c>
      <c r="B6" t="inlineStr">
        <is>
          <t>Credit information services and credit references</t>
        </is>
      </c>
      <c r="C6" t="inlineStr">
        <is>
          <t>Arrears / collections</t>
        </is>
      </c>
      <c r="D6" t="inlineStr">
        <is>
          <t>Forwarded to another firm (DISP 1.7)</t>
        </is>
      </c>
      <c r="G6" t="inlineStr">
        <is>
          <t>Settled</t>
        </is>
      </c>
    </row>
    <row r="7">
      <c r="A7" t="inlineStr">
        <is>
          <t>Social media</t>
        </is>
      </c>
      <c r="B7" t="inlineStr">
        <is>
          <t>Peer-to-peer lending platforms</t>
        </is>
      </c>
      <c r="C7" t="inlineStr">
        <is>
          <t>Customer service / delays</t>
        </is>
      </c>
      <c r="D7" t="inlineStr">
        <is>
          <t>Withdrawn</t>
        </is>
      </c>
    </row>
    <row r="8">
      <c r="A8" t="inlineStr">
        <is>
          <t>Via third party / CMC</t>
        </is>
      </c>
      <c r="B8" t="inlineStr">
        <is>
          <t>Consumer credit lending</t>
        </is>
      </c>
      <c r="C8" t="inlineStr">
        <is>
          <t>Staff conduct</t>
        </is>
      </c>
    </row>
    <row r="9">
      <c r="B9" t="inlineStr">
        <is>
          <t>Exercising a lender’s rights and duties</t>
        </is>
      </c>
      <c r="C9" t="inlineStr">
        <is>
          <t>Fraud / scams</t>
        </is>
      </c>
    </row>
    <row r="10">
      <c r="B10" t="inlineStr">
        <is>
          <t>Consumer hire</t>
        </is>
      </c>
      <c r="C10" t="inlineStr">
        <is>
          <t>Data protection</t>
        </is>
      </c>
    </row>
    <row r="11">
      <c r="B11" t="inlineStr">
        <is>
          <t>Insurance distribution</t>
        </is>
      </c>
      <c r="C11" t="inlineStr">
        <is>
          <t>Product performance</t>
        </is>
      </c>
    </row>
    <row r="12">
      <c r="B12" t="inlineStr">
        <is>
          <t>Mortgage intermediation</t>
        </is>
      </c>
      <c r="C12" t="inlineStr">
        <is>
          <t>Claims (insurance)</t>
        </is>
      </c>
    </row>
    <row r="13">
      <c r="B13" t="inlineStr">
        <is>
          <t>Payment services and e-money</t>
        </is>
      </c>
      <c r="C13" t="inlineStr">
        <is>
          <t>Other</t>
        </is>
      </c>
    </row>
    <row r="14">
      <c r="B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2026-09-25T21:00:50Z</dcterms:modified>
  <cp:lastModifiedBy>Matthew Gunn</cp:lastModifiedBy>
</cp:coreProperties>
</file>